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codeName="ThisWorkbook"/>
  <mc:AlternateContent xmlns:mc="http://schemas.openxmlformats.org/markup-compatibility/2006">
    <mc:Choice Requires="x15">
      <x15ac:absPath xmlns:x15ac="http://schemas.microsoft.com/office/spreadsheetml/2010/11/ac" url="C:\Users\srogus\Documents\RMF\SAP Template\"/>
    </mc:Choice>
  </mc:AlternateContent>
  <xr:revisionPtr revIDLastSave="0" documentId="13_ncr:201_{D21EF896-40EE-4E07-9CA4-A1FF6AABD14B}" xr6:coauthVersionLast="47" xr6:coauthVersionMax="47" xr10:uidLastSave="{00000000-0000-0000-0000-000000000000}"/>
  <bookViews>
    <workbookView xWindow="28680" yWindow="-120" windowWidth="29040" windowHeight="15840" tabRatio="740" activeTab="5" xr2:uid="{00000000-000D-0000-FFFF-FFFF00000000}"/>
  </bookViews>
  <sheets>
    <sheet name="Assessment Architecture" sheetId="1" r:id="rId1"/>
    <sheet name="Assessment Methods" sheetId="2" r:id="rId2"/>
    <sheet name="Assessment Personnel" sheetId="5" r:id="rId3"/>
    <sheet name="Exceptions" sheetId="4" r:id="rId4"/>
    <sheet name="Security Test Report" sheetId="6" r:id="rId5"/>
    <sheet name="SAR Executive Summary" sheetId="7" r:id="rId6"/>
    <sheet name="References" sheetId="3" r:id="rId7"/>
    <sheet name="Dropdown data" sheetId="8" state="hidden" r:id="rId8"/>
  </sheets>
  <definedNames>
    <definedName name="_xlnm.Print_Area" localSheetId="0">'Assessment Architecture'!$B$2:$I$41</definedName>
    <definedName name="_xlnm.Print_Area" localSheetId="1">'Assessment Methods'!$B$2:$D$28</definedName>
    <definedName name="_xlnm.Print_Area" localSheetId="2">'Assessment Personnel'!$A$1:$L$12</definedName>
    <definedName name="_xlnm.Print_Area" localSheetId="3">Exceptions!$B$2:$D$7</definedName>
    <definedName name="_xlnm.Print_Area" localSheetId="6">References!$B$2:$B$10</definedName>
  </definedNames>
  <calcPr calcId="191029"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2" l="1"/>
  <c r="B22" i="1"/>
  <c r="B9" i="1"/>
  <c r="B2" i="6"/>
  <c r="B2" i="4"/>
  <c r="B2" i="5"/>
</calcChain>
</file>

<file path=xl/sharedStrings.xml><?xml version="1.0" encoding="utf-8"?>
<sst xmlns="http://schemas.openxmlformats.org/spreadsheetml/2006/main" count="205" uniqueCount="181">
  <si>
    <t>Manufacturer</t>
  </si>
  <si>
    <t>Model Number</t>
  </si>
  <si>
    <t>Purpose</t>
  </si>
  <si>
    <t>Name</t>
  </si>
  <si>
    <t>Version</t>
  </si>
  <si>
    <t>*ADD ROWS AS NEEDED*</t>
  </si>
  <si>
    <t xml:space="preserve">System Name: </t>
  </si>
  <si>
    <t>eMASS ID:</t>
  </si>
  <si>
    <t>Location(s)</t>
  </si>
  <si>
    <t>Architecture / Assessment Boundary Diagrams</t>
  </si>
  <si>
    <t>[XYZ]</t>
  </si>
  <si>
    <t>[12345]</t>
  </si>
  <si>
    <t>[C06ATCFPPRLH01]</t>
  </si>
  <si>
    <t xml:space="preserve">[Dell] </t>
  </si>
  <si>
    <t>[Optiplex 780]</t>
  </si>
  <si>
    <t>[RHEL 6]</t>
  </si>
  <si>
    <t>[Application Workstation]</t>
  </si>
  <si>
    <t>[Apache]</t>
  </si>
  <si>
    <t>[Apache Tomcat]</t>
  </si>
  <si>
    <t>[6.0.48]</t>
  </si>
  <si>
    <t>[JAVA Implementation]</t>
  </si>
  <si>
    <t>Assessment Location</t>
  </si>
  <si>
    <t>[Assured Compliance Assessment Solution (ACAS) Vulnerability scan(s)]</t>
  </si>
  <si>
    <t>Sampling Methodology</t>
  </si>
  <si>
    <t>Is a sampling methodology being used to test only a portion of this IT, system, or network? (dropdown)</t>
  </si>
  <si>
    <r>
      <t xml:space="preserve"> Yes or No </t>
    </r>
    <r>
      <rPr>
        <b/>
        <sz val="8"/>
        <color theme="1"/>
        <rFont val="Calibri"/>
        <family val="2"/>
        <scheme val="minor"/>
      </rPr>
      <t>(dropdown)</t>
    </r>
  </si>
  <si>
    <t>If yes, describe here:</t>
  </si>
  <si>
    <t>Exceptions in Testing</t>
  </si>
  <si>
    <r>
      <t xml:space="preserve">Are </t>
    </r>
    <r>
      <rPr>
        <b/>
        <sz val="10"/>
        <color theme="1"/>
        <rFont val="Calibri"/>
        <family val="2"/>
        <scheme val="minor"/>
      </rPr>
      <t>Custom Test Cases</t>
    </r>
    <r>
      <rPr>
        <sz val="10"/>
        <color theme="1"/>
        <rFont val="Calibri"/>
        <family val="2"/>
        <scheme val="minor"/>
      </rPr>
      <t xml:space="preserve"> required to complete this assessment?</t>
    </r>
  </si>
  <si>
    <t xml:space="preserve"> References:</t>
  </si>
  <si>
    <t xml:space="preserve">This tab in INFORMATIONAL ONLY, and provides reference material and educational information related to security assessment planning. </t>
  </si>
  <si>
    <r>
      <rPr>
        <sz val="10"/>
        <color theme="1"/>
        <rFont val="Calibri"/>
        <family val="2"/>
        <scheme val="minor"/>
      </rPr>
      <t xml:space="preserve">
</t>
    </r>
    <r>
      <rPr>
        <sz val="11"/>
        <color theme="1"/>
        <rFont val="Calibri"/>
        <family val="2"/>
        <scheme val="minor"/>
      </rPr>
      <t xml:space="preserve">
</t>
    </r>
  </si>
  <si>
    <r>
      <t>Environment Type</t>
    </r>
    <r>
      <rPr>
        <sz val="10"/>
        <color theme="1" tint="0.14999847407452621"/>
        <rFont val="Calibri"/>
        <family val="2"/>
        <scheme val="minor"/>
      </rPr>
      <t xml:space="preserve"> </t>
    </r>
    <r>
      <rPr>
        <b/>
        <sz val="8"/>
        <color theme="1" tint="0.14999847407452621"/>
        <rFont val="Calibri"/>
        <family val="2"/>
        <scheme val="minor"/>
      </rPr>
      <t>(Dropdown)</t>
    </r>
  </si>
  <si>
    <t>Misleading results are realized during further analysis of findings and a careful review of the test objective.  Supporting details provided by testers will assist in the identification and resolution of these conditions.  This will decrease efforts of future test events, and reduce the amount of work necessary to address the same conditions when testing is performed at other points in a system’s lifecycle.</t>
  </si>
  <si>
    <t>Additional Information Required</t>
  </si>
  <si>
    <r>
      <t xml:space="preserve">Device Name 
</t>
    </r>
    <r>
      <rPr>
        <b/>
        <sz val="8"/>
        <color theme="1" tint="0.14999847407452621"/>
        <rFont val="Calibri"/>
        <family val="2"/>
        <scheme val="minor"/>
      </rPr>
      <t>(Unique Identifier)</t>
    </r>
  </si>
  <si>
    <t xml:space="preserve">Acronym: </t>
  </si>
  <si>
    <t>Sampling Methodology:</t>
  </si>
  <si>
    <t>[Bldg. A, Base]</t>
  </si>
  <si>
    <r>
      <t xml:space="preserve">Test Target 
</t>
    </r>
    <r>
      <rPr>
        <b/>
        <sz val="8"/>
        <color theme="1" tint="0.14999847407452621"/>
        <rFont val="Calibri"/>
        <family val="2"/>
        <scheme val="minor"/>
      </rPr>
      <t>(Component, Software, Technology, or Policy)</t>
    </r>
  </si>
  <si>
    <t>Assessment Personnel</t>
  </si>
  <si>
    <t>Title</t>
  </si>
  <si>
    <t>Telephone</t>
  </si>
  <si>
    <t>Email Address</t>
  </si>
  <si>
    <t>Program Manager</t>
  </si>
  <si>
    <t>Validator</t>
  </si>
  <si>
    <t>ISSE</t>
  </si>
  <si>
    <t>System Administrator</t>
  </si>
  <si>
    <r>
      <t>*</t>
    </r>
    <r>
      <rPr>
        <i/>
        <sz val="11"/>
        <color theme="1"/>
        <rFont val="Calibri"/>
        <family val="2"/>
        <scheme val="minor"/>
      </rPr>
      <t>ADD ROWS AS NEEDED*</t>
    </r>
  </si>
  <si>
    <r>
      <t xml:space="preserve">Instructions: 
   1. </t>
    </r>
    <r>
      <rPr>
        <b/>
        <sz val="8"/>
        <color theme="1" tint="0.34998626667073579"/>
        <rFont val="Calibri"/>
        <family val="2"/>
        <scheme val="minor"/>
      </rPr>
      <t xml:space="preserve">Click </t>
    </r>
    <r>
      <rPr>
        <sz val="8"/>
        <color theme="1" tint="0.34998626667073579"/>
        <rFont val="Calibri"/>
        <family val="2"/>
        <scheme val="minor"/>
      </rPr>
      <t>on this cell
   2. Choose '</t>
    </r>
    <r>
      <rPr>
        <b/>
        <sz val="8"/>
        <color theme="1" tint="0.34998626667073579"/>
        <rFont val="Calibri"/>
        <family val="2"/>
        <scheme val="minor"/>
      </rPr>
      <t>Insert Object</t>
    </r>
    <r>
      <rPr>
        <sz val="8"/>
        <color theme="1" tint="0.34998626667073579"/>
        <rFont val="Calibri"/>
        <family val="2"/>
        <scheme val="minor"/>
      </rPr>
      <t>'
   3. Use the '</t>
    </r>
    <r>
      <rPr>
        <b/>
        <sz val="8"/>
        <color theme="1" tint="0.34998626667073579"/>
        <rFont val="Calibri"/>
        <family val="2"/>
        <scheme val="minor"/>
      </rPr>
      <t>Create From File</t>
    </r>
    <r>
      <rPr>
        <sz val="8"/>
        <color theme="1" tint="0.34998626667073579"/>
        <rFont val="Calibri"/>
        <family val="2"/>
        <scheme val="minor"/>
      </rPr>
      <t>' tab and locate file
   4. Check the box '</t>
    </r>
    <r>
      <rPr>
        <b/>
        <sz val="8"/>
        <color theme="1" tint="0.34998626667073579"/>
        <rFont val="Calibri"/>
        <family val="2"/>
        <scheme val="minor"/>
      </rPr>
      <t>Display as Icon</t>
    </r>
    <r>
      <rPr>
        <sz val="8"/>
        <color theme="1" tint="0.34998626667073579"/>
        <rFont val="Calibri"/>
        <family val="2"/>
        <scheme val="minor"/>
      </rPr>
      <t>'
   5. Click '</t>
    </r>
    <r>
      <rPr>
        <b/>
        <sz val="8"/>
        <color theme="1" tint="0.34998626667073579"/>
        <rFont val="Calibri"/>
        <family val="2"/>
        <scheme val="minor"/>
      </rPr>
      <t>OK</t>
    </r>
    <r>
      <rPr>
        <sz val="8"/>
        <color theme="1" tint="0.34998626667073579"/>
        <rFont val="Calibri"/>
        <family val="2"/>
        <scheme val="minor"/>
      </rPr>
      <t>'</t>
    </r>
  </si>
  <si>
    <t xml:space="preserve">Navy RMF Security Assessment Plan (SAP) </t>
  </si>
  <si>
    <t>[First Last]</t>
  </si>
  <si>
    <t>[222-222-2222]</t>
  </si>
  <si>
    <t>[email@navy.mil]</t>
  </si>
  <si>
    <t>False Positives:</t>
  </si>
  <si>
    <t>Misleading Results:</t>
  </si>
  <si>
    <t>Test ID</t>
  </si>
  <si>
    <t>Description of Vulnerability/Weakness</t>
  </si>
  <si>
    <t>Source of Discovery
or
Test Tool Name</t>
  </si>
  <si>
    <t>Comment</t>
  </si>
  <si>
    <t>Trouble Ticket #</t>
  </si>
  <si>
    <t>ADD ROWS AS NEEDED</t>
  </si>
  <si>
    <t>[System must use NTFS]</t>
  </si>
  <si>
    <t>ACAS incorrectly identified multiple assets as not utilizing NTFS.  Manual testing was performed and verified NTFS is correctly implemented and used.</t>
  </si>
  <si>
    <t>DISA ACAS Helpdesk TT#123456</t>
  </si>
  <si>
    <t>[EXAMPLE: 800-53 Rev4 Controls]</t>
  </si>
  <si>
    <t>[The organization enforces physical access authorizations at organization-defined entry/exit points to the facility where the information system resides.]</t>
  </si>
  <si>
    <t>Firmware / OS</t>
  </si>
  <si>
    <t>System</t>
  </si>
  <si>
    <t xml:space="preserve">Workstation1
Workstation2
Server1
Web Server1
</t>
  </si>
  <si>
    <t xml:space="preserve">False Positives are a condition of a test case indicating non-compliance, but after further analysis it is determined that the test case incorrectly marked the finding as open. This is normally associated with automated testing methods and arises due to a number of possibilities. It is important to single out these conditions, record them for further review and to provide feedback to test tool maintainers. This will increase overall accuracy of future test events, and reduce the amount of work necessary to address the same conditions when testing is performed at other points in a system’s lifecycle. </t>
  </si>
  <si>
    <t>False Positives</t>
  </si>
  <si>
    <t>Misleading Reports</t>
  </si>
  <si>
    <t xml:space="preserve">Workstation1
Workstation2
</t>
  </si>
  <si>
    <t>STIG Viewer .ckl results will be provided combined with SCAP benchmark results using SCAP Compliance Checker XCCDF output.</t>
  </si>
  <si>
    <t>Site/Program ISSM</t>
  </si>
  <si>
    <t>[Assessor initially marked this non-compliant based on information received from site personnel prior to site visit. Further review with Command Security Manager onsite revealed compliance with this control, as physical access is controlled and documented appropriately.]</t>
  </si>
  <si>
    <t>[Choose]</t>
  </si>
  <si>
    <t>RMF Effort: (Dropdown)</t>
  </si>
  <si>
    <t>[System X Y Z]</t>
  </si>
  <si>
    <t>[VM]</t>
  </si>
  <si>
    <t>[C06ATCFPPRVM01]</t>
  </si>
  <si>
    <t>[Yes/No]</t>
  </si>
  <si>
    <t>Source of Discovery/
Test Tool Name</t>
  </si>
  <si>
    <t>Misleading results may be a condition that arises when the interpretation of an assessment procedure between testers is in conflict. This happens due to the complex nature of assessment procedures, a misunderstanding regarding the goal of the test case, or the use of a different method for determining compliancy status.
This can also be used to account for vulnerabilities discovered during automated scans that have not yet exceeded the allowed threshold for remediation since publication (e.g., 30 days). Please reference the Navy SCA RMF Risk Assessment Guide for additional information.</t>
  </si>
  <si>
    <t>Reference documents used to support testing and prepare this plan include but are not limited to (Check for updated versions of each): 
a. DODI 8510.01, Risk Management Framework (RMF) for DoD Information Technology (IT), 12 March 2014
b. Department of Defense (DoD) Cybersecurity Risk Assessment Guide, 22 April 2014
c. NIST SP 800-30 Rev1, Guide for Conducting Risk Assessments, September 2012
d. NIST SP 800-53 Rev4, Security and Privacy Controls for Federal Information Systems and Organizations, April 2013
e. NIST SP 800-53A Rev1, Guide for Assessing the Security Controls in Federal Information Systems and Organizations, June 2010
f. Navy SCA RMF Risk Assessment Guide V1.0, 1 November 2019
g. Qualification Standards, Responsibilities, and Registration Process For Navy Qualified Validators (NQV) Version 2.1, 5 SEP 2019
h. DoDI 5000.02, Operation of the Defense Acquisition System, 7 January 2015
i. Risk Management Framework Process Guide v3.1, 3 February 2020
j. Test and Evaluation Master Plan (TEMP) or Master Test Plan (MTP)(if applicable)
k. Governing Instructions (specific to system under test, if applicable)</t>
  </si>
  <si>
    <t>[EXAMPLE: Nessus vulnerability scanner]</t>
  </si>
  <si>
    <t xml:space="preserve">[Plugin 137145]
</t>
  </si>
  <si>
    <t>[The remote device is missing a vendor-supplied security patch. Cisco IOS XE Software is affected by a vulnerability in the Simple Network Management Protocol (SNMP) subsystem due to insufficient input validation when the software processes specific SNMP object identifiers. An authenticated, remote attacker can exploit this, by sending a crafted SNMP packet to an affected device, in order to cause a denial of service (DoS) condition.]</t>
  </si>
  <si>
    <t>[The plugin publlication date for this vulnerability is 6/5/2020; the date of the Nessus scan was 6/12/2020. Per the Navy SCA Risk Assessment Guide, this is within the 30 day expected remediation window associated with SI-2.9/SI-2.11 and can be considered a misleading result..]</t>
  </si>
  <si>
    <t xml:space="preserve">[PE-3.1
CCI: 000919]
</t>
  </si>
  <si>
    <t>[Domain Controller]</t>
  </si>
  <si>
    <t>[Windows Server 2012]</t>
  </si>
  <si>
    <t>Is there any unsupported HW/SW within the authorization boundary?</t>
  </si>
  <si>
    <t>Number of Failed Security Controls</t>
  </si>
  <si>
    <t>Assessment Question</t>
  </si>
  <si>
    <t>Do all failed security controls have a corresponding vulnerability in the POA&amp;M?</t>
  </si>
  <si>
    <t>Did the program provide adequate test results for each assessment procedure?</t>
  </si>
  <si>
    <t>Is the system fully PKI compliant?</t>
  </si>
  <si>
    <t>Overall System Risk</t>
  </si>
  <si>
    <t>Does the information system have HBSS fully implemented?</t>
  </si>
  <si>
    <t>Assessment Result</t>
  </si>
  <si>
    <t>Was the security control assessment performed onsite?</t>
  </si>
  <si>
    <t>Are there any inherited non-compliant controls, assessment procedures, or vulnerabilities in the POA&amp;M?</t>
  </si>
  <si>
    <t>Number of highest risk Failed Security Controls (e.g., 23 Moderate risk controls)</t>
  </si>
  <si>
    <t>[Network Policy Security Technical Implementation Guide][Version and Release not required]</t>
  </si>
  <si>
    <t>(If no, please elaborate here how assessment was performed)</t>
  </si>
  <si>
    <t>(If no, the program must provide adequate test results or fail security controls without sufficient evidence)</t>
  </si>
  <si>
    <t>(If yes, list unaccredited site / system to include eMASS ID)</t>
  </si>
  <si>
    <t xml:space="preserve">Does the risk of inherited controls or vulnerabilties increase the overall system risk? </t>
  </si>
  <si>
    <t>(If yes, list unsupported HW/SW)</t>
  </si>
  <si>
    <t>(If no, please elaborate)</t>
  </si>
  <si>
    <t>Are all fields for non-compliant security controls in the eMASS Risk Assessment Tab complete?</t>
  </si>
  <si>
    <t>Are there any inherited security controls from, or connections to, unauthorized sites or systems?</t>
  </si>
  <si>
    <t>Have all ongoing vulnerabilities from testing been entered into the eMASS POA&amp;M?</t>
  </si>
  <si>
    <t>(If yes, please elaborate)</t>
  </si>
  <si>
    <t>Were there any disagreements or points of contention in the assessment results with the program, or anything the NQV could not update in the record and would like to communicate to the SCA?</t>
  </si>
  <si>
    <t>NIST SP 800-53A Rev4 Security Controls Assessment Procedures
(categorization and overlays captured in eMASS record)</t>
  </si>
  <si>
    <t>Procedures and results will be captured in eMASS for each applicable security control assessment procedure</t>
  </si>
  <si>
    <t>Nessus scan results and reports will be provided in accordance with the Navy SCA Risk Assessment Guide</t>
  </si>
  <si>
    <t>SCAP Benchmark results will be provided as XCCDF XML output and HTML or PDF file.</t>
  </si>
  <si>
    <t>Column1</t>
  </si>
  <si>
    <t>STIG/SRG results will be provided in checklist/.ckl file format</t>
  </si>
  <si>
    <t>[Choose from dropdown]</t>
  </si>
  <si>
    <t>[Windows 10 Security Technical Implementation Guide][Version and Release not required]</t>
  </si>
  <si>
    <t>(Enter custom description)</t>
  </si>
  <si>
    <t>[RHEL 7 SCAP Benchmark]</t>
  </si>
  <si>
    <t>RHELSRV001
RHELSRV002</t>
  </si>
  <si>
    <t>NIST SP 800-53A Rev4 Security Controls Assessment Procedures - only those related to baseline change</t>
  </si>
  <si>
    <t>NIST SP 800-53A Rev4 Security Controls Assessment Procedures - only those affected by automated testing (CAR/HRR)</t>
  </si>
  <si>
    <t>Very High</t>
  </si>
  <si>
    <t>High</t>
  </si>
  <si>
    <t>Moderate</t>
  </si>
  <si>
    <t>Low</t>
  </si>
  <si>
    <t>Very Low</t>
  </si>
  <si>
    <t>(If yes, what is the risk of system specific controls and what is the risk of inherited vulnerabilities/controls)</t>
  </si>
  <si>
    <t>Yes</t>
  </si>
  <si>
    <t>No</t>
  </si>
  <si>
    <r>
      <t>&lt;</t>
    </r>
    <r>
      <rPr>
        <sz val="11"/>
        <color theme="1"/>
        <rFont val="Calibri"/>
        <family val="2"/>
        <scheme val="minor"/>
      </rPr>
      <t>Select dropdown for applicable NIST 800-53 control assessment&gt;</t>
    </r>
  </si>
  <si>
    <t>If yes, list them here.</t>
  </si>
  <si>
    <t>If yes, describe the driver (e.g., the absence of an applicable STIG or SRG for a system under test) behind the test cases and the method in which they were generated (e.g., developed using vendor hardening guidance, best practices, or other references as applicable).  The preferred format is the DISA STIG format.  All custom test cases are grouped by technology.  If a custom test case is required it must be traced to an applicable security control and have an assigned Severity Category based on criteria that shall also be documented here. 
All Custom test cases will be grouped into distinctive test batteries and referenced in the Assessment Methods tab.</t>
  </si>
  <si>
    <t>Hardware List</t>
  </si>
  <si>
    <t>Software List</t>
  </si>
  <si>
    <t>Embed Diagram 
Below</t>
  </si>
  <si>
    <t xml:space="preserve">For baseline change efforts: embed an architectural diagram that highlights the hosts impacted by the baseline change and included in the assessment.
For lab environments: provide a full architectural diagram of the lab environment, if different from production.
</t>
  </si>
  <si>
    <t>Please consult the Navy SCA Risk Assessment Guide for details on when representative sampling is appropriate, as well as expectations for leveraging a sampling approach in a Validator's assessment during RMF Step 4.</t>
  </si>
  <si>
    <r>
      <t xml:space="preserve">Test Battery
</t>
    </r>
    <r>
      <rPr>
        <i/>
        <sz val="9"/>
        <color theme="1" tint="0.14999847407452621"/>
        <rFont val="Calibri"/>
        <family val="2"/>
        <scheme val="minor"/>
      </rPr>
      <t>(note: STIG/SRG version and release information are captured in SAR Executive Summary post-assessment)</t>
    </r>
  </si>
  <si>
    <t>STIG/SRG used in assessment</t>
  </si>
  <si>
    <t>Version and Release</t>
  </si>
  <si>
    <t>[Example: Windows Server 2019 STIG]</t>
  </si>
  <si>
    <t>[Example: General Purpose Operating System SRG]</t>
  </si>
  <si>
    <t>Version 2, Release 3</t>
  </si>
  <si>
    <t>Version 2, Release 2</t>
  </si>
  <si>
    <t>&lt;insert rows as needed&gt;</t>
  </si>
  <si>
    <t>Every asset that is included in the authorization boundary must be tested by the Validator, unless a specific sampling approach is detailed in this document and approved by the SCA.
Representative sampling must satisfy the following requirements:
• Sampling must only be applied to assets of like type, function, and configuration.
• Sampling must only be applied to STIGs/SRGs.
• Sampling must not be applied to vulnerability scans for connected systems.
• The minimum required sample set is 10 assets of like type, function, and configuration. A 10% sample set is acceptable for 100 or more assets of like type, function, and configuration.
• Assets leveraged for sampling must be randomly selected by the Validator from the pool of like assets.
• Sampling must not be applied to assets in a DMZ. All hosts in a DMZ must be tested.
• Representative sampling may not be applied to lab representations of operational environments.
• If inconsistent configuration is discovered among like assets within a same sample set, the sample size must be increased to 25%.
[Example:
20 of 200 Windows 10 workstations
10 of 100 Windows 2012 R2 Dom. Ctrls.
10 of 100 Windows 2016 Mem. Srvs.
15 out of 150 RHEL 7 servers]</t>
  </si>
  <si>
    <t>Provide a list of assigned personnel.  [Text] is provided as sample content only, replace with system-specific content.</t>
  </si>
  <si>
    <r>
      <rPr>
        <b/>
        <u/>
        <sz val="11"/>
        <color theme="0"/>
        <rFont val="Calibri"/>
        <family val="2"/>
        <scheme val="minor"/>
      </rPr>
      <t>Section 1.0  - System Identification:</t>
    </r>
    <r>
      <rPr>
        <b/>
        <sz val="11"/>
        <color theme="0"/>
        <rFont val="Calibri"/>
        <family val="2"/>
        <scheme val="minor"/>
      </rPr>
      <t xml:space="preserve"> </t>
    </r>
    <r>
      <rPr>
        <i/>
        <sz val="11"/>
        <color theme="0"/>
        <rFont val="Calibri"/>
        <family val="2"/>
        <scheme val="minor"/>
      </rPr>
      <t>Complete all fields in this tab, ensuring consistency with the data in eMASS.</t>
    </r>
  </si>
  <si>
    <r>
      <rPr>
        <b/>
        <u/>
        <sz val="11"/>
        <color theme="0"/>
        <rFont val="Calibri"/>
        <family val="2"/>
        <scheme val="minor"/>
      </rPr>
      <t>Section 1.1 - Hardware List:</t>
    </r>
    <r>
      <rPr>
        <i/>
        <sz val="11"/>
        <color theme="0"/>
        <rFont val="Calibri"/>
        <family val="2"/>
        <scheme val="minor"/>
      </rPr>
      <t xml:space="preserve"> Only to be completed for baseline changes and unique lab environments that differ from the full system architecture (i.e., does not need to be completed when everything within the authorization boundary and HW/SW list is included in the assessment).
For baseline changes: provide a list of hosts that is modified or impacted by the proposed baseline change. List each asset/host individually by hostname or unique identifier.
For lab environments that differ from production architecture: provide a list of all hosts represented in the lab environment used for the assessment. List each asset/host individually by hostname or unique identifier.
[Text] is provided as sample content only, replace with system-specific content. </t>
    </r>
    <r>
      <rPr>
        <b/>
        <i/>
        <sz val="11"/>
        <color theme="0"/>
        <rFont val="Calibri"/>
        <family val="2"/>
        <scheme val="minor"/>
      </rPr>
      <t>NOTE: virtual hosts must be included and identified by hostname with relevant operating system.</t>
    </r>
  </si>
  <si>
    <r>
      <rPr>
        <b/>
        <u/>
        <sz val="11"/>
        <color theme="0"/>
        <rFont val="Calibri"/>
        <family val="2"/>
        <scheme val="minor"/>
      </rPr>
      <t>Section 1.2 - Software List:</t>
    </r>
    <r>
      <rPr>
        <i/>
        <sz val="11"/>
        <color theme="0"/>
        <rFont val="Calibri"/>
        <family val="2"/>
        <scheme val="minor"/>
      </rPr>
      <t xml:space="preserve"> Only to be completed for baseline changes and unique lab environments that differ from the full system architecture.
List ONLY the testable software components, such as IA-enabled applications, GOTS, and operating systems. </t>
    </r>
    <r>
      <rPr>
        <i/>
        <u/>
        <sz val="11"/>
        <color theme="0"/>
        <rFont val="Calibri"/>
        <family val="2"/>
        <scheme val="minor"/>
      </rPr>
      <t>Do not include</t>
    </r>
    <r>
      <rPr>
        <i/>
        <sz val="11"/>
        <color theme="0"/>
        <rFont val="Calibri"/>
        <family val="2"/>
        <scheme val="minor"/>
      </rPr>
      <t xml:space="preserve"> the entire software list from eMASS.
For baseline changes: provide a list of software that is modified or impacted by the proposed baseline change.
For lab environments that differ from production architecture: provide a list of software represented in the lab environment used for the assessment. 
[Text] is provided as sample content only, replace with system-specific content. Note: all software with applicable STIGs must be listed here, including individual Office components, browsers, etc.</t>
    </r>
  </si>
  <si>
    <r>
      <rPr>
        <b/>
        <u/>
        <sz val="11"/>
        <color theme="0"/>
        <rFont val="Calibri"/>
        <family val="2"/>
        <scheme val="minor"/>
      </rPr>
      <t>Section 1.3 - Assessment Architecture and Location:</t>
    </r>
    <r>
      <rPr>
        <i/>
        <sz val="11"/>
        <color theme="0"/>
        <rFont val="Calibri"/>
        <family val="2"/>
        <scheme val="minor"/>
      </rPr>
      <t xml:space="preserve"> Complete the assessment location fields. Provide an architecture diagram of the assessment environment **if different from the full architectural diagrams provided in eMASS**.
[Text] is provided as sample content only, replace with system-specific content.</t>
    </r>
  </si>
  <si>
    <r>
      <rPr>
        <b/>
        <u/>
        <sz val="10"/>
        <color theme="0"/>
        <rFont val="Calibri"/>
        <family val="2"/>
        <scheme val="minor"/>
      </rPr>
      <t>Section 2.0  - Assessment Methods:</t>
    </r>
    <r>
      <rPr>
        <b/>
        <sz val="10"/>
        <color theme="0"/>
        <rFont val="Calibri"/>
        <family val="2"/>
        <scheme val="minor"/>
      </rPr>
      <t xml:space="preserve"> </t>
    </r>
    <r>
      <rPr>
        <i/>
        <sz val="10"/>
        <color theme="0"/>
        <rFont val="Calibri"/>
        <family val="2"/>
        <scheme val="minor"/>
      </rPr>
      <t>Complete all fields in this tab, specifying all assessment methods and applicable hosts.</t>
    </r>
  </si>
  <si>
    <r>
      <rPr>
        <b/>
        <u/>
        <sz val="10"/>
        <color theme="0"/>
        <rFont val="Calibri"/>
        <family val="2"/>
        <scheme val="minor"/>
      </rPr>
      <t>Section 2.1 - Test Battery and Targets:</t>
    </r>
    <r>
      <rPr>
        <b/>
        <sz val="10"/>
        <color theme="0"/>
        <rFont val="Calibri"/>
        <family val="2"/>
        <scheme val="minor"/>
      </rPr>
      <t xml:space="preserve"> </t>
    </r>
    <r>
      <rPr>
        <i/>
        <sz val="10"/>
        <color theme="0"/>
        <rFont val="Calibri"/>
        <family val="2"/>
        <scheme val="minor"/>
      </rPr>
      <t>List each assessment method that will be executed as part of the Security Assessment Plan in the "Test Battery" column. List all hosts with the method that will be used to assess in the "Test Target" column; this field should include every target hostname, whenever applicable.</t>
    </r>
  </si>
  <si>
    <r>
      <rPr>
        <b/>
        <u/>
        <sz val="10"/>
        <color theme="0"/>
        <rFont val="Calibri"/>
        <family val="2"/>
        <scheme val="minor"/>
      </rPr>
      <t>Section 2.2 - Sampling Methodology:</t>
    </r>
    <r>
      <rPr>
        <b/>
        <sz val="10"/>
        <color theme="0"/>
        <rFont val="Calibri"/>
        <family val="2"/>
        <scheme val="minor"/>
      </rPr>
      <t xml:space="preserve"> </t>
    </r>
    <r>
      <rPr>
        <i/>
        <sz val="10"/>
        <color theme="0"/>
        <rFont val="Calibri"/>
        <family val="2"/>
        <scheme val="minor"/>
      </rPr>
      <t>Provide a summary of the sampling methodology being proposed (if applicable). [Text] is provided as sample content only, replace with system-specific content.</t>
    </r>
  </si>
  <si>
    <r>
      <rPr>
        <b/>
        <u/>
        <sz val="10"/>
        <color theme="0"/>
        <rFont val="Calibri"/>
        <family val="2"/>
        <scheme val="minor"/>
      </rPr>
      <t>Section 3.0 - Assessment Personnel:</t>
    </r>
    <r>
      <rPr>
        <b/>
        <sz val="10"/>
        <color theme="0"/>
        <rFont val="Calibri"/>
        <family val="2"/>
        <scheme val="minor"/>
      </rPr>
      <t xml:space="preserve"> </t>
    </r>
    <r>
      <rPr>
        <i/>
        <sz val="10"/>
        <color theme="0"/>
        <rFont val="Calibri"/>
        <family val="2"/>
        <scheme val="minor"/>
      </rPr>
      <t>Complete all fields in this tab, ensuring consistency with eMASS. [Text] is provided as sample content only, replace with system-specific content.</t>
    </r>
  </si>
  <si>
    <r>
      <rPr>
        <b/>
        <u/>
        <sz val="10"/>
        <color theme="0"/>
        <rFont val="Calibri"/>
        <family val="2"/>
        <scheme val="minor"/>
      </rPr>
      <t>Section 4.0 - Testing Exceptions:</t>
    </r>
    <r>
      <rPr>
        <i/>
        <sz val="10"/>
        <color theme="0"/>
        <rFont val="Calibri"/>
        <family val="2"/>
        <scheme val="minor"/>
      </rPr>
      <t xml:space="preserve"> Review each question below and respond accordingly. Provide additional required information as required. </t>
    </r>
  </si>
  <si>
    <r>
      <t xml:space="preserve">Are there any </t>
    </r>
    <r>
      <rPr>
        <b/>
        <sz val="10"/>
        <color theme="1"/>
        <rFont val="Calibri"/>
        <family val="2"/>
        <scheme val="minor"/>
      </rPr>
      <t xml:space="preserve">Testing Limitations </t>
    </r>
    <r>
      <rPr>
        <sz val="10"/>
        <color theme="1"/>
        <rFont val="Calibri"/>
        <family val="2"/>
        <scheme val="minor"/>
      </rPr>
      <t xml:space="preserve">that will result in a deviation from assessment expectations detailed in the Navy SCA Risk Assessment Guide?
</t>
    </r>
    <r>
      <rPr>
        <i/>
        <sz val="10"/>
        <color theme="1"/>
        <rFont val="Calibri"/>
        <family val="2"/>
        <scheme val="minor"/>
      </rPr>
      <t>(e.g., devices that will not support credentialed access for vulnerability scans)</t>
    </r>
  </si>
  <si>
    <r>
      <rPr>
        <b/>
        <u/>
        <sz val="10"/>
        <color theme="0"/>
        <rFont val="Calibri"/>
        <family val="2"/>
        <scheme val="minor"/>
      </rPr>
      <t>Section 5.0 - Security Test Report:</t>
    </r>
    <r>
      <rPr>
        <i/>
        <sz val="10"/>
        <color theme="0"/>
        <rFont val="Calibri"/>
        <family val="2"/>
        <scheme val="minor"/>
      </rPr>
      <t xml:space="preserve"> This report documents test events and any conditions or exceptions realized during the assessment event that may require further review. </t>
    </r>
  </si>
  <si>
    <r>
      <rPr>
        <b/>
        <u/>
        <sz val="10"/>
        <color theme="0"/>
        <rFont val="Calibri"/>
        <family val="2"/>
        <scheme val="minor"/>
      </rPr>
      <t>Section 5.1 - False Positives:</t>
    </r>
    <r>
      <rPr>
        <i/>
        <sz val="10"/>
        <color theme="0"/>
        <rFont val="Calibri"/>
        <family val="2"/>
        <scheme val="minor"/>
      </rPr>
      <t xml:space="preserve"> Complete all fields adequately identifying conditions of a test case indicating non-compliance, but determined to be incorrectly marked as an open finding.</t>
    </r>
  </si>
  <si>
    <r>
      <rPr>
        <b/>
        <u/>
        <sz val="10"/>
        <color theme="0"/>
        <rFont val="Calibri"/>
        <family val="2"/>
        <scheme val="minor"/>
      </rPr>
      <t>Section 5.2 - Misleading Reports:</t>
    </r>
    <r>
      <rPr>
        <i/>
        <sz val="10"/>
        <color theme="0"/>
        <rFont val="Calibri"/>
        <family val="2"/>
        <scheme val="minor"/>
      </rPr>
      <t xml:space="preserve"> Complete all fields adequately identifying any misleading results. For detailed explanation, see reference tab.</t>
    </r>
  </si>
  <si>
    <r>
      <rPr>
        <b/>
        <u/>
        <sz val="10"/>
        <color theme="0"/>
        <rFont val="Calibri"/>
        <family val="2"/>
        <scheme val="minor"/>
      </rPr>
      <t>Section 5.3  - Summary of Issues:</t>
    </r>
    <r>
      <rPr>
        <b/>
        <sz val="10"/>
        <color theme="0"/>
        <rFont val="Calibri"/>
        <family val="2"/>
        <scheme val="minor"/>
      </rPr>
      <t xml:space="preserve"> </t>
    </r>
    <r>
      <rPr>
        <i/>
        <sz val="10"/>
        <color theme="0"/>
        <rFont val="Calibri"/>
        <family val="2"/>
        <scheme val="minor"/>
      </rPr>
      <t>Identify any exceptions to the assessment testing which occurred during the assessment in the box below.  Provide a summary of the issue, background information and details of the exception.</t>
    </r>
  </si>
  <si>
    <t>Summary of Issue:</t>
  </si>
  <si>
    <r>
      <rPr>
        <b/>
        <u/>
        <sz val="10"/>
        <color theme="0"/>
        <rFont val="Calibri"/>
        <family val="2"/>
        <scheme val="minor"/>
      </rPr>
      <t xml:space="preserve">Section 6.0 - Navy Qualified Validator SAR Executive Summary
</t>
    </r>
    <r>
      <rPr>
        <b/>
        <sz val="10"/>
        <color theme="0"/>
        <rFont val="Calibri"/>
        <family val="2"/>
        <scheme val="minor"/>
      </rPr>
      <t>This tab to be completed by the NQV upon completion of the assessment/validation event.</t>
    </r>
    <r>
      <rPr>
        <b/>
        <i/>
        <sz val="10"/>
        <color theme="0"/>
        <rFont val="Calibri"/>
        <family val="2"/>
        <scheme val="minor"/>
      </rPr>
      <t xml:space="preserve">
</t>
    </r>
    <r>
      <rPr>
        <sz val="8"/>
        <color theme="0"/>
        <rFont val="Calibri"/>
        <family val="2"/>
        <scheme val="minor"/>
      </rPr>
      <t>(In the case of an assessment not requiring an NQV, the program shall fill out the SAR execurity summary)</t>
    </r>
  </si>
  <si>
    <t>Note that digital signature is required by the Navy Qualified Validator(s) who performed the assessment at the bottom of this page. No signature is required for CAR/HRR/IATT efforts without an NQV.</t>
  </si>
  <si>
    <r>
      <rPr>
        <b/>
        <u/>
        <sz val="10"/>
        <color theme="0"/>
        <rFont val="Calibri"/>
        <family val="2"/>
        <scheme val="minor"/>
      </rPr>
      <t xml:space="preserve">Section 6.2 - Assesssment Questionnaire and Results
</t>
    </r>
    <r>
      <rPr>
        <i/>
        <sz val="10"/>
        <color theme="0"/>
        <rFont val="Calibri"/>
        <family val="2"/>
        <scheme val="minor"/>
      </rPr>
      <t xml:space="preserve">Complete assessment questions with any relevant details from the assessment. Note this is to be completd </t>
    </r>
    <r>
      <rPr>
        <b/>
        <i/>
        <u/>
        <sz val="10"/>
        <color theme="0"/>
        <rFont val="Calibri"/>
        <family val="2"/>
        <scheme val="minor"/>
      </rPr>
      <t>after the assessment event.</t>
    </r>
  </si>
  <si>
    <r>
      <rPr>
        <b/>
        <u/>
        <sz val="10"/>
        <color theme="0"/>
        <rFont val="Calibri"/>
        <family val="2"/>
        <scheme val="minor"/>
      </rPr>
      <t xml:space="preserve">Section 6.3 - NQV Signature
</t>
    </r>
    <r>
      <rPr>
        <i/>
        <sz val="10"/>
        <color theme="0"/>
        <rFont val="Calibri"/>
        <family val="2"/>
        <scheme val="minor"/>
      </rPr>
      <t xml:space="preserve">Once the SAP Security Test Report and SAR Executive Summary have been completed, the NQV(s) who performed the assessment must digitally sign below to indicate completion of the assessment and their concurrence with the results.
Note: the NQV(s) </t>
    </r>
    <r>
      <rPr>
        <b/>
        <i/>
        <u/>
        <sz val="10"/>
        <color theme="0"/>
        <rFont val="Calibri"/>
        <family val="2"/>
        <scheme val="minor"/>
      </rPr>
      <t>must</t>
    </r>
    <r>
      <rPr>
        <i/>
        <sz val="10"/>
        <color theme="0"/>
        <rFont val="Calibri"/>
        <family val="2"/>
        <scheme val="minor"/>
      </rPr>
      <t xml:space="preserve"> digitally sign to be included on the NQV evaluation.</t>
    </r>
  </si>
  <si>
    <r>
      <rPr>
        <b/>
        <u/>
        <sz val="10"/>
        <color theme="0"/>
        <rFont val="Calibri"/>
        <family val="2"/>
        <scheme val="minor"/>
      </rPr>
      <t>Section 3.1 -  NQV Signature</t>
    </r>
    <r>
      <rPr>
        <i/>
        <sz val="10"/>
        <color theme="0"/>
        <rFont val="Calibri"/>
        <family val="2"/>
        <scheme val="minor"/>
      </rPr>
      <t xml:space="preserve">
The NQV(s) who developed the SAP and will perform the assessment must digitally sign below to indicate their concurrence of the accuracy of the SAP.
An NQV is not required for CAR, HRR, or IATT efforts and no signature is required. For full A&amp;A efforts and baseline changes, </t>
    </r>
    <r>
      <rPr>
        <i/>
        <u/>
        <sz val="10"/>
        <color theme="0"/>
        <rFont val="Calibri"/>
        <family val="2"/>
        <scheme val="minor"/>
      </rPr>
      <t>SAPs without an NQV digital signature will not be processed.</t>
    </r>
    <r>
      <rPr>
        <i/>
        <sz val="10"/>
        <color theme="0"/>
        <rFont val="Calibri"/>
        <family val="2"/>
        <scheme val="minor"/>
      </rPr>
      <t xml:space="preserve">
Note: the NQV(s) must digitally sign to be included on the NQV evaluation. </t>
    </r>
  </si>
  <si>
    <r>
      <rPr>
        <b/>
        <u/>
        <sz val="10"/>
        <color theme="0"/>
        <rFont val="Calibri"/>
        <family val="2"/>
        <scheme val="minor"/>
      </rPr>
      <t xml:space="preserve">Section 6.1 - Assesssment Testing Information
</t>
    </r>
    <r>
      <rPr>
        <i/>
        <sz val="10"/>
        <color theme="0"/>
        <rFont val="Calibri"/>
        <family val="2"/>
        <scheme val="minor"/>
      </rPr>
      <t xml:space="preserve"> Provide version and release information for all STIG and SRG testing completed, as well as the date the STIG or SRG was performed. Date range can be provided for multiple hosts. Each STIG/SRG can be listed once, does not require individual hostnames.
 Note this is to be completed </t>
    </r>
    <r>
      <rPr>
        <b/>
        <i/>
        <u/>
        <sz val="10"/>
        <color theme="0"/>
        <rFont val="Calibri"/>
        <family val="2"/>
        <scheme val="minor"/>
      </rPr>
      <t>after the assessment event.</t>
    </r>
  </si>
  <si>
    <t>Date or date range performed</t>
  </si>
  <si>
    <t>Version 3, released AUGUST 2022</t>
  </si>
  <si>
    <t>Navy RMF SAP v3, released AUGUST 2022</t>
  </si>
  <si>
    <r>
      <t xml:space="preserve">Are there any </t>
    </r>
    <r>
      <rPr>
        <b/>
        <sz val="10"/>
        <color theme="1"/>
        <rFont val="Calibri"/>
        <family val="2"/>
        <scheme val="minor"/>
      </rPr>
      <t>Additional Test Considerations</t>
    </r>
    <r>
      <rPr>
        <sz val="10"/>
        <color theme="1"/>
        <rFont val="Calibri"/>
        <family val="2"/>
        <scheme val="minor"/>
      </rPr>
      <t xml:space="preserve"> that need to be considered that have not previously been identified in this plan?
</t>
    </r>
    <r>
      <rPr>
        <i/>
        <sz val="10"/>
        <color theme="1"/>
        <rFont val="Calibri"/>
        <family val="2"/>
        <scheme val="minor"/>
      </rPr>
      <t>(e.g., on site validation cannot be performed, and how the assessment will be performed)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</si>
</sst>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Calibri"/>
      <family val="2"/>
      <scheme val="minor"/>
    </font>
    <font>
      <b/>
      <sz val="11"/>
      <color theme="1"/>
      <name val="Calibri"/>
      <family val="2"/>
      <scheme val="minor"/>
    </font>
    <font>
      <b/>
      <sz val="10"/>
      <color theme="1"/>
      <name val="Calibri"/>
      <family val="2"/>
      <scheme val="minor"/>
    </font>
    <font>
      <b/>
      <sz val="8"/>
      <color theme="1"/>
      <name val="Calibri"/>
      <family val="2"/>
      <scheme val="minor"/>
    </font>
    <font>
      <sz val="10"/>
      <color theme="1"/>
      <name val="Calibri"/>
      <family val="2"/>
      <scheme val="minor"/>
    </font>
    <font>
      <sz val="11"/>
      <color theme="1" tint="0.14999847407452621"/>
      <name val="Calibri"/>
      <family val="2"/>
      <scheme val="minor"/>
    </font>
    <font>
      <b/>
      <sz val="11"/>
      <color theme="1" tint="0.14999847407452621"/>
      <name val="Calibri"/>
      <family val="2"/>
      <scheme val="minor"/>
    </font>
    <font>
      <sz val="10"/>
      <color theme="1" tint="0.14999847407452621"/>
      <name val="Calibri"/>
      <family val="2"/>
      <scheme val="minor"/>
    </font>
    <font>
      <b/>
      <sz val="10"/>
      <color theme="1" tint="0.14999847407452621"/>
      <name val="Calibri"/>
      <family val="2"/>
      <scheme val="minor"/>
    </font>
    <font>
      <b/>
      <sz val="8"/>
      <color theme="1" tint="0.14999847407452621"/>
      <name val="Calibri"/>
      <family val="2"/>
      <scheme val="minor"/>
    </font>
    <font>
      <i/>
      <sz val="9"/>
      <color theme="0"/>
      <name val="Calibri"/>
      <family val="2"/>
      <scheme val="minor"/>
    </font>
    <font>
      <i/>
      <sz val="10"/>
      <color theme="1"/>
      <name val="Calibri"/>
      <family val="2"/>
      <scheme val="minor"/>
    </font>
    <font>
      <sz val="12"/>
      <color theme="1"/>
      <name val="Times New Roman"/>
      <family val="1"/>
    </font>
    <font>
      <b/>
      <sz val="10"/>
      <color theme="0"/>
      <name val="Calibri"/>
      <family val="2"/>
      <scheme val="minor"/>
    </font>
    <font>
      <b/>
      <sz val="16"/>
      <color theme="0"/>
      <name val="Calibri"/>
      <family val="2"/>
      <scheme val="minor"/>
    </font>
    <font>
      <b/>
      <i/>
      <sz val="8"/>
      <color theme="0"/>
      <name val="Calibri"/>
      <family val="2"/>
      <scheme val="minor"/>
    </font>
    <font>
      <b/>
      <sz val="8"/>
      <color theme="0"/>
      <name val="Calibri"/>
      <family val="2"/>
      <scheme val="minor"/>
    </font>
    <font>
      <sz val="8"/>
      <color theme="1" tint="0.34998626667073579"/>
      <name val="Calibri"/>
      <family val="2"/>
      <scheme val="minor"/>
    </font>
    <font>
      <b/>
      <sz val="8"/>
      <color theme="1" tint="0.34998626667073579"/>
      <name val="Calibri"/>
      <family val="2"/>
      <scheme val="minor"/>
    </font>
    <font>
      <i/>
      <sz val="11"/>
      <color theme="1"/>
      <name val="Calibri"/>
      <family val="2"/>
      <scheme val="minor"/>
    </font>
    <font>
      <i/>
      <sz val="10"/>
      <color theme="1"/>
      <name val="Times New Roman"/>
      <family val="1"/>
    </font>
    <font>
      <b/>
      <sz val="10"/>
      <name val="Calibri"/>
      <family val="2"/>
      <scheme val="minor"/>
    </font>
    <font>
      <i/>
      <sz val="10"/>
      <color theme="1" tint="0.14999847407452621"/>
      <name val="Calibri"/>
      <family val="2"/>
      <scheme val="minor"/>
    </font>
    <font>
      <b/>
      <sz val="11"/>
      <color theme="0"/>
      <name val="Calibri"/>
      <family val="2"/>
      <scheme val="minor"/>
    </font>
    <font>
      <i/>
      <sz val="11"/>
      <color theme="0"/>
      <name val="Calibri"/>
      <family val="2"/>
      <scheme val="minor"/>
    </font>
    <font>
      <b/>
      <i/>
      <sz val="11"/>
      <color theme="0"/>
      <name val="Calibri"/>
      <family val="2"/>
      <scheme val="minor"/>
    </font>
    <font>
      <i/>
      <u/>
      <sz val="11"/>
      <color theme="0"/>
      <name val="Calibri"/>
      <family val="2"/>
      <scheme val="minor"/>
    </font>
    <font>
      <i/>
      <sz val="10"/>
      <color theme="0"/>
      <name val="Calibri"/>
      <family val="2"/>
      <scheme val="minor"/>
    </font>
    <font>
      <b/>
      <i/>
      <sz val="8"/>
      <color theme="2"/>
      <name val="Calibri"/>
      <family val="2"/>
      <scheme val="minor"/>
    </font>
    <font>
      <i/>
      <sz val="8"/>
      <color theme="1"/>
      <name val="Calibri"/>
      <family val="2"/>
      <scheme val="minor"/>
    </font>
    <font>
      <b/>
      <i/>
      <sz val="10"/>
      <color theme="0"/>
      <name val="Calibri"/>
      <family val="2"/>
      <scheme val="minor"/>
    </font>
    <font>
      <sz val="8"/>
      <color theme="0"/>
      <name val="Calibri"/>
      <family val="2"/>
      <scheme val="minor"/>
    </font>
    <font>
      <i/>
      <sz val="11"/>
      <color theme="1" tint="0.14999847407452621"/>
      <name val="Calibri"/>
      <family val="2"/>
      <scheme val="minor"/>
    </font>
    <font>
      <b/>
      <u/>
      <sz val="11"/>
      <color theme="0"/>
      <name val="Calibri"/>
      <family val="2"/>
      <scheme val="minor"/>
    </font>
    <font>
      <i/>
      <sz val="9"/>
      <color theme="1" tint="0.14999847407452621"/>
      <name val="Calibri"/>
      <family val="2"/>
      <scheme val="minor"/>
    </font>
    <font>
      <sz val="10"/>
      <name val="Calibri"/>
      <family val="2"/>
      <scheme val="minor"/>
    </font>
    <font>
      <i/>
      <sz val="10"/>
      <name val="Calibri"/>
      <family val="2"/>
      <scheme val="minor"/>
    </font>
    <font>
      <b/>
      <u/>
      <sz val="10"/>
      <color theme="0"/>
      <name val="Calibri"/>
      <family val="2"/>
      <scheme val="minor"/>
    </font>
    <font>
      <b/>
      <i/>
      <u/>
      <sz val="10"/>
      <color theme="0"/>
      <name val="Calibri"/>
      <family val="2"/>
      <scheme val="minor"/>
    </font>
    <font>
      <i/>
      <u/>
      <sz val="10"/>
      <color theme="0"/>
      <name val="Calibri"/>
      <family val="2"/>
      <scheme val="minor"/>
    </font>
  </fonts>
  <fills count="15">
    <fill>
      <patternFill patternType="none"/>
    </fill>
    <fill>
      <patternFill patternType="gray125"/>
    </fill>
    <fill>
      <patternFill patternType="solid">
        <fgColor theme="6"/>
        <bgColor indexed="64"/>
      </patternFill>
    </fill>
    <fill>
      <patternFill patternType="solid">
        <fgColor theme="4"/>
        <bgColor indexed="64"/>
      </patternFill>
    </fill>
    <fill>
      <patternFill patternType="solid">
        <fgColor theme="2" tint="-0.24994659260841701"/>
        <bgColor indexed="64"/>
      </patternFill>
    </fill>
    <fill>
      <patternFill patternType="solid">
        <fgColor theme="0"/>
        <bgColor indexed="64"/>
      </patternFill>
    </fill>
    <fill>
      <patternFill patternType="solid">
        <fgColor theme="8" tint="-0.499984740745262"/>
        <bgColor indexed="64"/>
      </patternFill>
    </fill>
    <fill>
      <patternFill patternType="solid">
        <fgColor rgb="FFFFFFD5"/>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rgb="FFFFFFCC"/>
        <bgColor indexed="64"/>
      </patternFill>
    </fill>
    <fill>
      <patternFill patternType="solid">
        <fgColor rgb="FF203764"/>
        <bgColor indexed="64"/>
      </patternFill>
    </fill>
    <fill>
      <patternFill patternType="solid">
        <fgColor rgb="FFAEAAAA"/>
        <bgColor indexed="64"/>
      </patternFill>
    </fill>
    <fill>
      <patternFill patternType="solid">
        <fgColor rgb="FFFF0000"/>
        <bgColor indexed="64"/>
      </patternFill>
    </fill>
    <fill>
      <patternFill patternType="solid">
        <fgColor rgb="FF5B9BD5"/>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medium">
        <color theme="1" tint="4.9989318521683403E-2"/>
      </left>
      <right/>
      <top style="medium">
        <color theme="1" tint="4.9989318521683403E-2"/>
      </top>
      <bottom/>
      <diagonal/>
    </border>
    <border>
      <left/>
      <right/>
      <top style="medium">
        <color theme="1" tint="4.9989318521683403E-2"/>
      </top>
      <bottom/>
      <diagonal/>
    </border>
    <border>
      <left/>
      <right style="medium">
        <color theme="1" tint="4.9989318521683403E-2"/>
      </right>
      <top style="medium">
        <color theme="1" tint="4.9989318521683403E-2"/>
      </top>
      <bottom/>
      <diagonal/>
    </border>
    <border>
      <left style="thin">
        <color auto="1"/>
      </left>
      <right style="medium">
        <color auto="1"/>
      </right>
      <top style="thin">
        <color auto="1"/>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medium">
        <color auto="1"/>
      </bottom>
      <diagonal/>
    </border>
    <border>
      <left/>
      <right style="medium">
        <color auto="1"/>
      </right>
      <top/>
      <bottom style="medium">
        <color auto="1"/>
      </bottom>
      <diagonal/>
    </border>
    <border>
      <left/>
      <right style="medium">
        <color indexed="64"/>
      </right>
      <top style="thin">
        <color auto="1"/>
      </top>
      <bottom style="thin">
        <color auto="1"/>
      </bottom>
      <diagonal/>
    </border>
    <border>
      <left/>
      <right/>
      <top/>
      <bottom style="medium">
        <color indexed="64"/>
      </bottom>
      <diagonal/>
    </border>
    <border>
      <left style="medium">
        <color indexed="64"/>
      </left>
      <right/>
      <top/>
      <bottom style="medium">
        <color indexed="64"/>
      </bottom>
      <diagonal/>
    </border>
    <border>
      <left style="medium">
        <color theme="1" tint="4.9989318521683403E-2"/>
      </left>
      <right/>
      <top style="medium">
        <color theme="1" tint="4.9989318521683403E-2"/>
      </top>
      <bottom style="thin">
        <color auto="1"/>
      </bottom>
      <diagonal/>
    </border>
    <border>
      <left/>
      <right style="thin">
        <color auto="1"/>
      </right>
      <top style="medium">
        <color theme="1" tint="4.9989318521683403E-2"/>
      </top>
      <bottom style="thin">
        <color auto="1"/>
      </bottom>
      <diagonal/>
    </border>
    <border>
      <left style="medium">
        <color indexed="64"/>
      </left>
      <right/>
      <top style="thin">
        <color auto="1"/>
      </top>
      <bottom style="thin">
        <color theme="1" tint="4.9989318521683403E-2"/>
      </bottom>
      <diagonal/>
    </border>
    <border>
      <left/>
      <right style="thin">
        <color theme="1" tint="4.9989318521683403E-2"/>
      </right>
      <top style="thin">
        <color auto="1"/>
      </top>
      <bottom style="thin">
        <color theme="1" tint="4.9989318521683403E-2"/>
      </bottom>
      <diagonal/>
    </border>
    <border>
      <left style="medium">
        <color indexed="64"/>
      </left>
      <right/>
      <top style="medium">
        <color indexed="64"/>
      </top>
      <bottom style="medium">
        <color theme="1" tint="4.9989318521683403E-2"/>
      </bottom>
      <diagonal/>
    </border>
    <border>
      <left/>
      <right/>
      <top style="medium">
        <color indexed="64"/>
      </top>
      <bottom style="medium">
        <color theme="1" tint="4.9989318521683403E-2"/>
      </bottom>
      <diagonal/>
    </border>
    <border>
      <left/>
      <right style="medium">
        <color indexed="64"/>
      </right>
      <top style="medium">
        <color indexed="64"/>
      </top>
      <bottom style="medium">
        <color theme="1" tint="4.9989318521683403E-2"/>
      </bottom>
      <diagonal/>
    </border>
    <border>
      <left style="medium">
        <color indexed="64"/>
      </left>
      <right/>
      <top style="medium">
        <color theme="1" tint="4.9989318521683403E-2"/>
      </top>
      <bottom/>
      <diagonal/>
    </border>
    <border>
      <left style="thin">
        <color theme="1" tint="4.9989318521683403E-2"/>
      </left>
      <right style="medium">
        <color indexed="64"/>
      </right>
      <top style="thin">
        <color theme="1" tint="4.9989318521683403E-2"/>
      </top>
      <bottom style="thin">
        <color theme="1" tint="4.9989318521683403E-2"/>
      </bottom>
      <diagonal/>
    </border>
    <border>
      <left style="medium">
        <color indexed="64"/>
      </left>
      <right/>
      <top style="thin">
        <color auto="1"/>
      </top>
      <bottom style="medium">
        <color indexed="64"/>
      </bottom>
      <diagonal/>
    </border>
    <border>
      <left/>
      <right style="thin">
        <color theme="1" tint="4.9989318521683403E-2"/>
      </right>
      <top style="thin">
        <color auto="1"/>
      </top>
      <bottom style="medium">
        <color indexed="64"/>
      </bottom>
      <diagonal/>
    </border>
    <border>
      <left style="thin">
        <color theme="1" tint="4.9989318521683403E-2"/>
      </left>
      <right style="medium">
        <color indexed="64"/>
      </right>
      <top style="thin">
        <color theme="1" tint="4.9989318521683403E-2"/>
      </top>
      <bottom style="medium">
        <color indexed="64"/>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style="double">
        <color indexed="64"/>
      </top>
      <bottom style="double">
        <color indexed="64"/>
      </bottom>
      <diagonal/>
    </border>
    <border>
      <left style="medium">
        <color indexed="64"/>
      </left>
      <right style="medium">
        <color indexed="64"/>
      </right>
      <top style="double">
        <color indexed="64"/>
      </top>
      <bottom style="medium">
        <color indexed="64"/>
      </bottom>
      <diagonal/>
    </border>
    <border>
      <left/>
      <right/>
      <top style="medium">
        <color indexed="64"/>
      </top>
      <bottom style="double">
        <color indexed="64"/>
      </bottom>
      <diagonal/>
    </border>
    <border>
      <left/>
      <right style="thin">
        <color auto="1"/>
      </right>
      <top style="medium">
        <color indexed="64"/>
      </top>
      <bottom style="double">
        <color indexed="64"/>
      </bottom>
      <diagonal/>
    </border>
    <border>
      <left style="thin">
        <color auto="1"/>
      </left>
      <right/>
      <top style="medium">
        <color indexed="64"/>
      </top>
      <bottom style="double">
        <color indexed="64"/>
      </bottom>
      <diagonal/>
    </border>
    <border>
      <left/>
      <right style="medium">
        <color auto="1"/>
      </right>
      <top style="medium">
        <color indexed="64"/>
      </top>
      <bottom style="double">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double">
        <color indexed="64"/>
      </top>
      <bottom style="thin">
        <color theme="1" tint="4.9989318521683403E-2"/>
      </bottom>
      <diagonal/>
    </border>
    <border>
      <left/>
      <right/>
      <top style="thin">
        <color theme="1" tint="4.9989318521683403E-2"/>
      </top>
      <bottom style="thin">
        <color theme="1" tint="4.9989318521683403E-2"/>
      </bottom>
      <diagonal/>
    </border>
    <border>
      <left style="medium">
        <color indexed="64"/>
      </left>
      <right/>
      <top style="medium">
        <color indexed="64"/>
      </top>
      <bottom style="double">
        <color indexed="64"/>
      </bottom>
      <diagonal/>
    </border>
    <border>
      <left style="medium">
        <color indexed="64"/>
      </left>
      <right/>
      <top style="double">
        <color indexed="64"/>
      </top>
      <bottom style="thin">
        <color theme="1" tint="4.9989318521683403E-2"/>
      </bottom>
      <diagonal/>
    </border>
    <border>
      <left style="medium">
        <color indexed="64"/>
      </left>
      <right/>
      <top style="thin">
        <color theme="1" tint="4.9989318521683403E-2"/>
      </top>
      <bottom style="thin">
        <color theme="1" tint="4.9989318521683403E-2"/>
      </bottom>
      <diagonal/>
    </border>
    <border>
      <left/>
      <right/>
      <top style="thin">
        <color auto="1"/>
      </top>
      <bottom style="thin">
        <color auto="1"/>
      </bottom>
      <diagonal/>
    </border>
    <border>
      <left/>
      <right/>
      <top style="thin">
        <color auto="1"/>
      </top>
      <bottom/>
      <diagonal/>
    </border>
    <border>
      <left style="medium">
        <color auto="1"/>
      </left>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style="thin">
        <color auto="1"/>
      </right>
      <top style="thin">
        <color auto="1"/>
      </top>
      <bottom style="thin">
        <color auto="1"/>
      </bottom>
      <diagonal/>
    </border>
    <border>
      <left/>
      <right style="medium">
        <color indexed="64"/>
      </right>
      <top style="medium">
        <color indexed="64"/>
      </top>
      <bottom style="thin">
        <color auto="1"/>
      </bottom>
      <diagonal/>
    </border>
    <border>
      <left style="thin">
        <color theme="1" tint="4.9989318521683403E-2"/>
      </left>
      <right/>
      <top/>
      <bottom/>
      <diagonal/>
    </border>
    <border>
      <left style="thin">
        <color theme="1" tint="4.9989318521683403E-2"/>
      </left>
      <right/>
      <top style="thin">
        <color theme="1" tint="4.9989318521683403E-2"/>
      </top>
      <bottom style="thin">
        <color theme="1" tint="4.9989318521683403E-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theme="1" tint="4.9989318521683403E-2"/>
      </right>
      <top style="medium">
        <color indexed="64"/>
      </top>
      <bottom style="thin">
        <color theme="1" tint="4.9989318521683403E-2"/>
      </bottom>
      <diagonal/>
    </border>
    <border>
      <left style="thin">
        <color theme="1" tint="4.9989318521683403E-2"/>
      </left>
      <right style="thin">
        <color theme="1" tint="4.9989318521683403E-2"/>
      </right>
      <top style="medium">
        <color indexed="64"/>
      </top>
      <bottom style="thin">
        <color theme="1" tint="4.9989318521683403E-2"/>
      </bottom>
      <diagonal/>
    </border>
    <border>
      <left style="thin">
        <color theme="1" tint="4.9989318521683403E-2"/>
      </left>
      <right/>
      <top style="medium">
        <color indexed="64"/>
      </top>
      <bottom style="thin">
        <color indexed="64"/>
      </bottom>
      <diagonal/>
    </border>
    <border>
      <left/>
      <right/>
      <top style="medium">
        <color indexed="64"/>
      </top>
      <bottom style="thin">
        <color auto="1"/>
      </bottom>
      <diagonal/>
    </border>
    <border>
      <left style="medium">
        <color indexed="64"/>
      </left>
      <right style="thin">
        <color theme="1" tint="4.9989318521683403E-2"/>
      </right>
      <top style="thin">
        <color theme="1" tint="4.9989318521683403E-2"/>
      </top>
      <bottom style="thin">
        <color theme="1" tint="4.9989318521683403E-2"/>
      </bottom>
      <diagonal/>
    </border>
    <border>
      <left style="medium">
        <color indexed="64"/>
      </left>
      <right style="thin">
        <color theme="1" tint="4.9989318521683403E-2"/>
      </right>
      <top style="thin">
        <color theme="1" tint="4.9989318521683403E-2"/>
      </top>
      <bottom style="medium">
        <color indexed="64"/>
      </bottom>
      <diagonal/>
    </border>
    <border>
      <left style="thin">
        <color theme="1" tint="4.9989318521683403E-2"/>
      </left>
      <right style="thin">
        <color theme="1" tint="4.9989318521683403E-2"/>
      </right>
      <top style="thin">
        <color theme="1" tint="4.9989318521683403E-2"/>
      </top>
      <bottom style="medium">
        <color indexed="64"/>
      </bottom>
      <diagonal/>
    </border>
    <border>
      <left style="thin">
        <color theme="1" tint="4.9989318521683403E-2"/>
      </left>
      <right/>
      <top/>
      <bottom style="medium">
        <color indexed="64"/>
      </bottom>
      <diagonal/>
    </border>
    <border>
      <left/>
      <right style="medium">
        <color indexed="64"/>
      </right>
      <top style="medium">
        <color theme="1" tint="4.9989318521683403E-2"/>
      </top>
      <bottom/>
      <diagonal/>
    </border>
    <border>
      <left style="medium">
        <color indexed="64"/>
      </left>
      <right style="medium">
        <color indexed="64"/>
      </right>
      <top style="medium">
        <color indexed="64"/>
      </top>
      <bottom style="thin">
        <color theme="1" tint="4.9989318521683403E-2"/>
      </bottom>
      <diagonal/>
    </border>
    <border>
      <left style="medium">
        <color indexed="64"/>
      </left>
      <right style="medium">
        <color indexed="64"/>
      </right>
      <top style="thin">
        <color theme="1" tint="4.9989318521683403E-2"/>
      </top>
      <bottom style="thin">
        <color theme="1" tint="4.9989318521683403E-2"/>
      </bottom>
      <diagonal/>
    </border>
    <border>
      <left style="medium">
        <color indexed="64"/>
      </left>
      <right style="medium">
        <color indexed="64"/>
      </right>
      <top/>
      <bottom style="thin">
        <color theme="1" tint="4.9989318521683403E-2"/>
      </bottom>
      <diagonal/>
    </border>
    <border>
      <left style="medium">
        <color indexed="64"/>
      </left>
      <right/>
      <top style="thin">
        <color theme="1" tint="4.9989318521683403E-2"/>
      </top>
      <bottom style="medium">
        <color indexed="64"/>
      </bottom>
      <diagonal/>
    </border>
    <border>
      <left style="thin">
        <color auto="1"/>
      </left>
      <right/>
      <top style="medium">
        <color indexed="64"/>
      </top>
      <bottom style="thin">
        <color auto="1"/>
      </bottom>
      <diagonal/>
    </border>
    <border>
      <left style="thin">
        <color auto="1"/>
      </left>
      <right/>
      <top style="thin">
        <color auto="1"/>
      </top>
      <bottom/>
      <diagonal/>
    </border>
    <border>
      <left/>
      <right/>
      <top style="medium">
        <color theme="1" tint="4.9989318521683403E-2"/>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theme="1" tint="4.9989318521683403E-2"/>
      </left>
      <right style="medium">
        <color indexed="64"/>
      </right>
      <top style="medium">
        <color theme="1" tint="4.9989318521683403E-2"/>
      </top>
      <bottom/>
      <diagonal/>
    </border>
    <border>
      <left style="medium">
        <color indexed="64"/>
      </left>
      <right style="thin">
        <color auto="1"/>
      </right>
      <top/>
      <bottom style="thin">
        <color auto="1"/>
      </bottom>
      <diagonal/>
    </border>
    <border>
      <left style="medium">
        <color indexed="64"/>
      </left>
      <right/>
      <top style="medium">
        <color theme="1" tint="4.9989318521683403E-2"/>
      </top>
      <bottom style="medium">
        <color indexed="64"/>
      </bottom>
      <diagonal/>
    </border>
    <border>
      <left/>
      <right style="medium">
        <color indexed="64"/>
      </right>
      <top style="medium">
        <color theme="1" tint="4.9989318521683403E-2"/>
      </top>
      <bottom style="medium">
        <color indexed="64"/>
      </bottom>
      <diagonal/>
    </border>
    <border>
      <left style="medium">
        <color theme="1" tint="4.9989318521683403E-2"/>
      </left>
      <right/>
      <top style="medium">
        <color indexed="64"/>
      </top>
      <bottom style="medium">
        <color theme="1" tint="4.9989318521683403E-2"/>
      </bottom>
      <diagonal/>
    </border>
    <border>
      <left style="medium">
        <color indexed="64"/>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thin">
        <color indexed="64"/>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theme="1" tint="4.9989318521683403E-2"/>
      </top>
      <bottom style="medium">
        <color indexed="64"/>
      </bottom>
      <diagonal/>
    </border>
  </borders>
  <cellStyleXfs count="1">
    <xf numFmtId="0" fontId="0" fillId="0" borderId="0"/>
  </cellStyleXfs>
  <cellXfs count="308">
    <xf numFmtId="0" fontId="0" fillId="0" borderId="0" xfId="0"/>
    <xf numFmtId="0" fontId="0" fillId="0" borderId="0" xfId="0" applyBorder="1"/>
    <xf numFmtId="0" fontId="0" fillId="0" borderId="0" xfId="0" applyFill="1" applyBorder="1"/>
    <xf numFmtId="0" fontId="4" fillId="0" borderId="0" xfId="0" applyFont="1"/>
    <xf numFmtId="0" fontId="0" fillId="0" borderId="0" xfId="0" quotePrefix="1"/>
    <xf numFmtId="0" fontId="0" fillId="0" borderId="0" xfId="0" applyAlignment="1">
      <alignment horizontal="center" vertical="center" wrapText="1"/>
    </xf>
    <xf numFmtId="0" fontId="0" fillId="0" borderId="0" xfId="0" applyFill="1" applyBorder="1" applyAlignment="1">
      <alignment horizontal="center" vertical="center" wrapText="1"/>
    </xf>
    <xf numFmtId="0" fontId="4" fillId="0" borderId="0" xfId="0" applyFont="1" applyAlignment="1">
      <alignment horizontal="center" vertical="center" wrapText="1"/>
    </xf>
    <xf numFmtId="0" fontId="12" fillId="0" borderId="0" xfId="0" applyFont="1" applyAlignment="1">
      <alignment vertical="top" wrapText="1"/>
    </xf>
    <xf numFmtId="0" fontId="0" fillId="0" borderId="0" xfId="0" applyFill="1" applyBorder="1" applyAlignment="1">
      <alignment horizontal="center" vertical="top" wrapText="1"/>
    </xf>
    <xf numFmtId="0" fontId="0" fillId="0" borderId="0" xfId="0" applyFill="1" applyBorder="1" applyAlignment="1">
      <alignment vertical="top"/>
    </xf>
    <xf numFmtId="0" fontId="7" fillId="0" borderId="9" xfId="0" applyFont="1" applyBorder="1" applyAlignment="1">
      <alignment horizontal="left" wrapText="1"/>
    </xf>
    <xf numFmtId="0" fontId="7" fillId="0" borderId="1" xfId="0" applyFont="1" applyBorder="1" applyAlignment="1">
      <alignment wrapText="1"/>
    </xf>
    <xf numFmtId="0" fontId="8" fillId="0" borderId="14" xfId="0" applyFont="1" applyBorder="1" applyAlignment="1">
      <alignment horizontal="center" vertical="center" wrapText="1"/>
    </xf>
    <xf numFmtId="0" fontId="7" fillId="0" borderId="28" xfId="0" applyFont="1" applyBorder="1" applyAlignment="1">
      <alignment horizontal="left" vertical="center"/>
    </xf>
    <xf numFmtId="0" fontId="7" fillId="0" borderId="31" xfId="0" applyFont="1" applyBorder="1" applyAlignment="1">
      <alignment horizontal="left" vertical="center"/>
    </xf>
    <xf numFmtId="0" fontId="0" fillId="0" borderId="0" xfId="0" applyAlignment="1">
      <alignment vertical="top"/>
    </xf>
    <xf numFmtId="0" fontId="0" fillId="0" borderId="0" xfId="0" applyAlignment="1">
      <alignment vertical="center"/>
    </xf>
    <xf numFmtId="0" fontId="10" fillId="3" borderId="32" xfId="0" applyFont="1" applyFill="1" applyBorder="1" applyAlignment="1">
      <alignment horizontal="left" vertical="center" wrapText="1"/>
    </xf>
    <xf numFmtId="0" fontId="2" fillId="4" borderId="33" xfId="0" applyFont="1" applyFill="1" applyBorder="1" applyAlignment="1">
      <alignment vertical="top" wrapText="1"/>
    </xf>
    <xf numFmtId="0" fontId="4" fillId="0" borderId="33" xfId="0" applyFont="1" applyBorder="1" applyAlignment="1">
      <alignment vertical="top" wrapText="1"/>
    </xf>
    <xf numFmtId="0" fontId="2" fillId="4" borderId="33" xfId="0" applyFont="1" applyFill="1" applyBorder="1" applyAlignment="1">
      <alignment vertical="top"/>
    </xf>
    <xf numFmtId="0" fontId="4" fillId="0" borderId="33" xfId="0" applyFont="1" applyFill="1" applyBorder="1" applyAlignment="1">
      <alignment vertical="top" wrapText="1"/>
    </xf>
    <xf numFmtId="0" fontId="2" fillId="2" borderId="33" xfId="0" applyFont="1" applyFill="1" applyBorder="1" applyAlignment="1">
      <alignment vertical="top"/>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4" fillId="0" borderId="1" xfId="0" applyFont="1" applyBorder="1" applyAlignment="1">
      <alignment wrapText="1"/>
    </xf>
    <xf numFmtId="0" fontId="2" fillId="2" borderId="52" xfId="0" applyFont="1" applyFill="1" applyBorder="1" applyAlignment="1">
      <alignment horizontal="center" wrapText="1"/>
    </xf>
    <xf numFmtId="0" fontId="2" fillId="2" borderId="13" xfId="0" applyFont="1" applyFill="1" applyBorder="1" applyAlignment="1">
      <alignment horizontal="center" vertical="center"/>
    </xf>
    <xf numFmtId="0" fontId="4" fillId="0" borderId="13" xfId="0" applyFont="1" applyBorder="1" applyAlignment="1">
      <alignment wrapText="1"/>
    </xf>
    <xf numFmtId="0" fontId="11" fillId="7" borderId="52" xfId="0" applyFont="1" applyFill="1" applyBorder="1" applyAlignment="1">
      <alignment wrapText="1"/>
    </xf>
    <xf numFmtId="0" fontId="4" fillId="7" borderId="52" xfId="0" applyFont="1" applyFill="1" applyBorder="1" applyAlignment="1">
      <alignment wrapText="1"/>
    </xf>
    <xf numFmtId="0" fontId="7" fillId="0" borderId="55" xfId="0" applyFont="1" applyBorder="1" applyAlignment="1">
      <alignment horizontal="left" wrapText="1"/>
    </xf>
    <xf numFmtId="0" fontId="7" fillId="0" borderId="63" xfId="0" applyFont="1" applyBorder="1" applyAlignment="1">
      <alignment horizontal="left" wrapText="1"/>
    </xf>
    <xf numFmtId="0" fontId="7" fillId="0" borderId="64" xfId="0" applyFont="1" applyBorder="1" applyAlignment="1">
      <alignment horizontal="left" wrapText="1"/>
    </xf>
    <xf numFmtId="0" fontId="7" fillId="0" borderId="65" xfId="0" applyFont="1" applyBorder="1" applyAlignment="1">
      <alignment horizontal="left" wrapText="1"/>
    </xf>
    <xf numFmtId="0" fontId="6" fillId="7" borderId="68" xfId="0" applyFont="1" applyFill="1" applyBorder="1" applyAlignment="1">
      <alignment horizontal="center" vertical="top" wrapText="1"/>
    </xf>
    <xf numFmtId="0" fontId="22" fillId="7" borderId="69" xfId="0" applyFont="1" applyFill="1" applyBorder="1" applyAlignment="1">
      <alignment horizontal="left" vertical="top" wrapText="1"/>
    </xf>
    <xf numFmtId="0" fontId="11" fillId="10" borderId="70" xfId="0" applyFont="1" applyFill="1" applyBorder="1" applyAlignment="1">
      <alignment horizontal="left" vertical="top" wrapText="1"/>
    </xf>
    <xf numFmtId="0" fontId="8" fillId="0" borderId="2" xfId="0" applyFont="1" applyBorder="1" applyAlignment="1">
      <alignment horizontal="center" vertical="center" wrapText="1"/>
    </xf>
    <xf numFmtId="0" fontId="0" fillId="0" borderId="0" xfId="0" applyAlignment="1">
      <alignment horizontal="center" vertical="center"/>
    </xf>
    <xf numFmtId="0" fontId="8" fillId="0" borderId="59" xfId="0" applyFont="1" applyBorder="1" applyAlignment="1">
      <alignment horizontal="center" vertical="center" wrapText="1"/>
    </xf>
    <xf numFmtId="0" fontId="8" fillId="0" borderId="60" xfId="0" applyFont="1" applyBorder="1" applyAlignment="1">
      <alignment horizontal="center" vertical="center" wrapText="1"/>
    </xf>
    <xf numFmtId="0" fontId="4" fillId="0" borderId="0" xfId="0" applyFont="1" applyAlignment="1">
      <alignment horizontal="center" vertical="center"/>
    </xf>
    <xf numFmtId="0" fontId="8" fillId="4" borderId="3" xfId="0" applyFont="1" applyFill="1" applyBorder="1" applyAlignment="1">
      <alignment vertical="top" wrapText="1"/>
    </xf>
    <xf numFmtId="0" fontId="8" fillId="4" borderId="47" xfId="0" applyFont="1" applyFill="1" applyBorder="1" applyAlignment="1">
      <alignment vertical="top" wrapText="1"/>
    </xf>
    <xf numFmtId="0" fontId="2" fillId="4" borderId="47" xfId="0" applyFont="1" applyFill="1" applyBorder="1" applyAlignment="1">
      <alignment horizontal="right" vertical="top" wrapText="1"/>
    </xf>
    <xf numFmtId="0" fontId="7" fillId="0" borderId="39" xfId="0" applyFont="1" applyBorder="1" applyAlignment="1">
      <alignment wrapText="1"/>
    </xf>
    <xf numFmtId="0" fontId="7" fillId="0" borderId="0" xfId="0" applyFont="1" applyBorder="1" applyAlignment="1">
      <alignment vertical="top" wrapText="1"/>
    </xf>
    <xf numFmtId="0" fontId="0" fillId="0" borderId="0" xfId="0" applyFill="1" applyBorder="1" applyAlignment="1">
      <alignment horizontal="left" vertical="center"/>
    </xf>
    <xf numFmtId="0" fontId="0" fillId="0" borderId="0" xfId="0" applyBorder="1" applyAlignment="1">
      <alignment horizontal="left" vertical="center"/>
    </xf>
    <xf numFmtId="0" fontId="2" fillId="4" borderId="1" xfId="0" applyFont="1" applyFill="1" applyBorder="1" applyAlignment="1">
      <alignment horizontal="center" wrapText="1"/>
    </xf>
    <xf numFmtId="0" fontId="4" fillId="7" borderId="1" xfId="0" applyFont="1" applyFill="1" applyBorder="1" applyAlignment="1">
      <alignment horizontal="center" vertical="center"/>
    </xf>
    <xf numFmtId="0" fontId="11" fillId="0" borderId="13" xfId="0" applyFont="1" applyBorder="1" applyAlignment="1">
      <alignment vertical="top" wrapText="1"/>
    </xf>
    <xf numFmtId="0" fontId="4" fillId="0" borderId="52" xfId="0" applyFont="1" applyBorder="1" applyAlignment="1">
      <alignment vertical="top" wrapText="1"/>
    </xf>
    <xf numFmtId="0" fontId="4" fillId="0" borderId="76" xfId="0" applyFont="1" applyBorder="1" applyAlignment="1">
      <alignment vertical="top" wrapText="1"/>
    </xf>
    <xf numFmtId="0" fontId="4" fillId="7" borderId="41" xfId="0" applyFont="1" applyFill="1" applyBorder="1" applyAlignment="1">
      <alignment horizontal="center" vertical="center"/>
    </xf>
    <xf numFmtId="0" fontId="11" fillId="7" borderId="52" xfId="0" applyFont="1" applyFill="1" applyBorder="1" applyAlignment="1">
      <alignment vertical="top" wrapText="1"/>
    </xf>
    <xf numFmtId="0" fontId="11" fillId="0" borderId="1" xfId="0" applyFont="1" applyBorder="1" applyAlignment="1">
      <alignment vertical="top" wrapText="1"/>
    </xf>
    <xf numFmtId="0" fontId="20" fillId="0" borderId="0" xfId="0" applyFont="1" applyBorder="1" applyAlignment="1">
      <alignment vertical="top" wrapText="1"/>
    </xf>
    <xf numFmtId="0" fontId="7" fillId="5" borderId="1" xfId="0" applyFont="1" applyFill="1" applyBorder="1" applyAlignment="1">
      <alignment horizontal="center" vertical="top" wrapText="1"/>
    </xf>
    <xf numFmtId="0" fontId="7" fillId="5" borderId="13" xfId="0" applyFont="1" applyFill="1" applyBorder="1" applyAlignment="1">
      <alignment horizontal="center" vertical="top" wrapText="1"/>
    </xf>
    <xf numFmtId="0" fontId="8" fillId="4" borderId="52" xfId="0" applyFont="1" applyFill="1" applyBorder="1" applyAlignment="1">
      <alignment horizontal="center" vertical="center" wrapText="1"/>
    </xf>
    <xf numFmtId="0" fontId="2" fillId="4" borderId="17" xfId="0" applyFont="1" applyFill="1" applyBorder="1" applyAlignment="1">
      <alignment horizontal="right" vertical="top" wrapText="1"/>
    </xf>
    <xf numFmtId="0" fontId="8" fillId="0" borderId="81" xfId="0" applyFont="1" applyBorder="1" applyAlignment="1">
      <alignment horizontal="center" vertical="center" wrapText="1"/>
    </xf>
    <xf numFmtId="0" fontId="7" fillId="0" borderId="52" xfId="0" applyFont="1" applyBorder="1" applyAlignment="1">
      <alignment wrapText="1"/>
    </xf>
    <xf numFmtId="0" fontId="7" fillId="0" borderId="75" xfId="0" applyFont="1" applyBorder="1" applyAlignment="1">
      <alignment wrapText="1"/>
    </xf>
    <xf numFmtId="0" fontId="11" fillId="0" borderId="52" xfId="0" applyFont="1" applyFill="1" applyBorder="1" applyAlignment="1">
      <alignment vertical="top" wrapText="1"/>
    </xf>
    <xf numFmtId="0" fontId="11" fillId="0" borderId="1" xfId="0" applyFont="1" applyFill="1" applyBorder="1" applyAlignment="1">
      <alignment vertical="top" wrapText="1"/>
    </xf>
    <xf numFmtId="0" fontId="4" fillId="0" borderId="33" xfId="0" applyFont="1" applyFill="1" applyBorder="1" applyAlignment="1">
      <alignment horizontal="left" vertical="top" wrapText="1"/>
    </xf>
    <xf numFmtId="0" fontId="4" fillId="0" borderId="34" xfId="0" applyFont="1" applyFill="1" applyBorder="1" applyAlignment="1">
      <alignment vertical="top" wrapText="1"/>
    </xf>
    <xf numFmtId="0" fontId="4" fillId="0" borderId="52" xfId="0" applyFont="1" applyBorder="1"/>
    <xf numFmtId="0" fontId="4" fillId="0" borderId="1" xfId="0" applyFont="1" applyBorder="1" applyAlignment="1">
      <alignment horizontal="center" vertical="center"/>
    </xf>
    <xf numFmtId="0" fontId="4" fillId="0" borderId="13" xfId="0" applyFont="1" applyBorder="1"/>
    <xf numFmtId="0" fontId="21" fillId="9" borderId="76" xfId="0" applyFont="1" applyFill="1" applyBorder="1" applyAlignment="1">
      <alignment horizontal="center" vertical="center"/>
    </xf>
    <xf numFmtId="0" fontId="21" fillId="9" borderId="41" xfId="0" applyFont="1" applyFill="1" applyBorder="1" applyAlignment="1">
      <alignment horizontal="center" vertical="center"/>
    </xf>
    <xf numFmtId="0" fontId="21" fillId="9" borderId="15" xfId="0" applyFont="1" applyFill="1" applyBorder="1" applyAlignment="1">
      <alignment horizontal="center" vertical="center"/>
    </xf>
    <xf numFmtId="0" fontId="4" fillId="0" borderId="52" xfId="0" applyFont="1" applyFill="1" applyBorder="1"/>
    <xf numFmtId="0" fontId="4" fillId="0" borderId="13" xfId="0" applyFont="1" applyBorder="1" applyAlignment="1">
      <alignment vertical="center" wrapText="1"/>
    </xf>
    <xf numFmtId="0" fontId="4" fillId="0" borderId="52" xfId="0" applyFont="1" applyBorder="1" applyAlignment="1">
      <alignment vertical="center" wrapText="1"/>
    </xf>
    <xf numFmtId="0" fontId="22" fillId="7" borderId="85" xfId="0" applyFont="1" applyFill="1" applyBorder="1" applyAlignment="1">
      <alignment horizontal="left" vertical="top" wrapText="1"/>
    </xf>
    <xf numFmtId="0" fontId="0" fillId="0" borderId="0" xfId="0" applyAlignment="1">
      <alignment wrapText="1"/>
    </xf>
    <xf numFmtId="0" fontId="0" fillId="0" borderId="0" xfId="0" applyFont="1"/>
    <xf numFmtId="0" fontId="2" fillId="4" borderId="52"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xf numFmtId="0" fontId="4" fillId="0" borderId="81" xfId="0" applyFont="1" applyBorder="1"/>
    <xf numFmtId="0" fontId="4" fillId="0" borderId="2" xfId="0" applyFont="1" applyBorder="1" applyAlignment="1">
      <alignment horizontal="center" vertical="center"/>
    </xf>
    <xf numFmtId="0" fontId="4" fillId="0" borderId="14" xfId="0" applyFont="1" applyBorder="1"/>
    <xf numFmtId="0" fontId="35" fillId="0" borderId="77" xfId="0" applyFont="1" applyFill="1" applyBorder="1" applyAlignment="1">
      <alignment horizontal="center" vertical="center"/>
    </xf>
    <xf numFmtId="0" fontId="35" fillId="0" borderId="79" xfId="0" applyFont="1" applyFill="1" applyBorder="1" applyAlignment="1">
      <alignment horizontal="center" vertical="center"/>
    </xf>
    <xf numFmtId="0" fontId="35" fillId="0" borderId="52" xfId="0" applyFont="1" applyFill="1" applyBorder="1" applyAlignment="1">
      <alignment horizontal="center" vertical="center"/>
    </xf>
    <xf numFmtId="0" fontId="35" fillId="0" borderId="1" xfId="0" applyFont="1" applyFill="1" applyBorder="1" applyAlignment="1">
      <alignment horizontal="center" vertical="center"/>
    </xf>
    <xf numFmtId="0" fontId="35" fillId="0" borderId="13" xfId="0" applyFont="1" applyFill="1" applyBorder="1" applyAlignment="1">
      <alignment horizontal="center" vertical="center"/>
    </xf>
    <xf numFmtId="0" fontId="35" fillId="0" borderId="2" xfId="0" applyFont="1" applyFill="1" applyBorder="1" applyAlignment="1">
      <alignment horizontal="center" vertical="center"/>
    </xf>
    <xf numFmtId="0" fontId="35" fillId="0" borderId="14" xfId="0" applyFont="1" applyFill="1" applyBorder="1" applyAlignment="1">
      <alignment horizontal="center" vertical="center"/>
    </xf>
    <xf numFmtId="15" fontId="35" fillId="0" borderId="78" xfId="0" applyNumberFormat="1" applyFont="1" applyFill="1" applyBorder="1" applyAlignment="1">
      <alignment horizontal="center" vertical="center"/>
    </xf>
    <xf numFmtId="15" fontId="35" fillId="0" borderId="1" xfId="0" applyNumberFormat="1" applyFont="1" applyFill="1" applyBorder="1" applyAlignment="1">
      <alignment horizontal="center" vertical="center"/>
    </xf>
    <xf numFmtId="0" fontId="36" fillId="0" borderId="81" xfId="0" applyFont="1" applyFill="1" applyBorder="1" applyAlignment="1">
      <alignment horizontal="center" vertical="center"/>
    </xf>
    <xf numFmtId="0" fontId="22" fillId="7" borderId="92" xfId="0" applyFont="1" applyFill="1" applyBorder="1" applyAlignment="1">
      <alignment horizontal="left" vertical="top" wrapText="1"/>
    </xf>
    <xf numFmtId="0" fontId="11" fillId="0" borderId="89" xfId="0" applyFont="1" applyBorder="1" applyAlignment="1">
      <alignment horizontal="center" vertical="top" wrapText="1"/>
    </xf>
    <xf numFmtId="0" fontId="11" fillId="0" borderId="90" xfId="0" applyFont="1" applyBorder="1" applyAlignment="1">
      <alignment horizontal="center" vertical="top" wrapText="1"/>
    </xf>
    <xf numFmtId="0" fontId="8"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7" fillId="0" borderId="3" xfId="0" applyFont="1" applyBorder="1" applyAlignment="1">
      <alignment horizontal="center" wrapText="1"/>
    </xf>
    <xf numFmtId="0" fontId="7" fillId="0" borderId="47" xfId="0" applyFont="1" applyBorder="1" applyAlignment="1">
      <alignment horizontal="center" wrapText="1"/>
    </xf>
    <xf numFmtId="0" fontId="7" fillId="0" borderId="17" xfId="0" applyFont="1" applyBorder="1" applyAlignment="1">
      <alignment horizont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24" fillId="3" borderId="82" xfId="0" applyFont="1" applyFill="1" applyBorder="1" applyAlignment="1">
      <alignment horizontal="left" vertical="center" wrapText="1"/>
    </xf>
    <xf numFmtId="0" fontId="24" fillId="3" borderId="74" xfId="0" applyFont="1" applyFill="1" applyBorder="1" applyAlignment="1">
      <alignment horizontal="left" vertical="center" wrapText="1"/>
    </xf>
    <xf numFmtId="0" fontId="24" fillId="3" borderId="83" xfId="0" applyFont="1" applyFill="1" applyBorder="1" applyAlignment="1">
      <alignment horizontal="left" vertical="center" wrapText="1"/>
    </xf>
    <xf numFmtId="0" fontId="2" fillId="4" borderId="24" xfId="0" applyFont="1" applyFill="1" applyBorder="1" applyAlignment="1">
      <alignment horizontal="center"/>
    </xf>
    <xf numFmtId="0" fontId="2" fillId="4" borderId="25" xfId="0" applyFont="1" applyFill="1" applyBorder="1" applyAlignment="1">
      <alignment horizontal="center"/>
    </xf>
    <xf numFmtId="0" fontId="2" fillId="4" borderId="26" xfId="0" applyFont="1" applyFill="1" applyBorder="1" applyAlignment="1">
      <alignment horizontal="center"/>
    </xf>
    <xf numFmtId="0" fontId="8" fillId="0" borderId="10" xfId="0" applyFont="1" applyBorder="1" applyAlignment="1">
      <alignment horizontal="center" vertical="top" wrapText="1"/>
    </xf>
    <xf numFmtId="0" fontId="8" fillId="0" borderId="12" xfId="0" applyFont="1" applyBorder="1" applyAlignment="1">
      <alignment horizontal="center" vertical="top" wrapText="1"/>
    </xf>
    <xf numFmtId="0" fontId="2" fillId="2" borderId="24"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center" vertical="center"/>
    </xf>
    <xf numFmtId="0" fontId="17" fillId="7" borderId="6" xfId="0" applyFont="1" applyFill="1" applyBorder="1" applyAlignment="1">
      <alignment horizontal="left" vertical="top" wrapText="1"/>
    </xf>
    <xf numFmtId="0" fontId="17" fillId="7" borderId="8" xfId="0" applyFont="1" applyFill="1" applyBorder="1" applyAlignment="1">
      <alignment horizontal="left" vertical="top" wrapText="1"/>
    </xf>
    <xf numFmtId="0" fontId="17" fillId="7" borderId="5" xfId="0" applyFont="1" applyFill="1" applyBorder="1" applyAlignment="1">
      <alignment horizontal="left" vertical="top" wrapText="1"/>
    </xf>
    <xf numFmtId="0" fontId="17" fillId="7" borderId="4" xfId="0" applyFont="1" applyFill="1" applyBorder="1" applyAlignment="1">
      <alignment horizontal="left" vertical="top" wrapText="1"/>
    </xf>
    <xf numFmtId="0" fontId="17" fillId="7" borderId="19" xfId="0" applyFont="1" applyFill="1" applyBorder="1" applyAlignment="1">
      <alignment horizontal="left" vertical="top" wrapText="1"/>
    </xf>
    <xf numFmtId="0" fontId="17" fillId="7" borderId="16" xfId="0" applyFont="1" applyFill="1" applyBorder="1" applyAlignment="1">
      <alignment horizontal="left" vertical="top" wrapTex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7" fillId="0" borderId="27"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5" xfId="0" applyFont="1" applyBorder="1" applyAlignment="1">
      <alignment horizontal="left" vertical="top" wrapText="1"/>
    </xf>
    <xf numFmtId="0" fontId="7" fillId="0" borderId="0" xfId="0" applyFont="1" applyBorder="1" applyAlignment="1">
      <alignment horizontal="left" vertical="top" wrapText="1"/>
    </xf>
    <xf numFmtId="0" fontId="7" fillId="0" borderId="19" xfId="0" applyFont="1" applyBorder="1" applyAlignment="1">
      <alignment horizontal="left" vertical="top" wrapText="1"/>
    </xf>
    <xf numFmtId="0" fontId="7" fillId="0" borderId="18" xfId="0" applyFont="1" applyBorder="1" applyAlignment="1">
      <alignment horizontal="left" vertical="top" wrapText="1"/>
    </xf>
    <xf numFmtId="0" fontId="14" fillId="6" borderId="6" xfId="0" applyFont="1" applyFill="1" applyBorder="1" applyAlignment="1">
      <alignment horizontal="center"/>
    </xf>
    <xf numFmtId="0" fontId="14" fillId="6" borderId="7" xfId="0" applyFont="1" applyFill="1" applyBorder="1" applyAlignment="1">
      <alignment horizontal="center"/>
    </xf>
    <xf numFmtId="0" fontId="14" fillId="6" borderId="8" xfId="0" applyFont="1" applyFill="1" applyBorder="1" applyAlignment="1">
      <alignment horizontal="center"/>
    </xf>
    <xf numFmtId="0" fontId="15" fillId="6" borderId="5" xfId="0" applyFont="1" applyFill="1" applyBorder="1" applyAlignment="1">
      <alignment horizontal="center"/>
    </xf>
    <xf numFmtId="0" fontId="16" fillId="6" borderId="0" xfId="0" applyFont="1" applyFill="1" applyBorder="1" applyAlignment="1">
      <alignment horizontal="center"/>
    </xf>
    <xf numFmtId="0" fontId="16" fillId="6" borderId="4" xfId="0" applyFont="1" applyFill="1" applyBorder="1" applyAlignment="1">
      <alignment horizontal="center"/>
    </xf>
    <xf numFmtId="0" fontId="6" fillId="4" borderId="27" xfId="0" applyFont="1" applyFill="1" applyBorder="1" applyAlignment="1">
      <alignment horizontal="center" vertical="top"/>
    </xf>
    <xf numFmtId="0" fontId="6" fillId="4" borderId="11" xfId="0" applyFont="1" applyFill="1" applyBorder="1" applyAlignment="1">
      <alignment horizontal="center" vertical="top"/>
    </xf>
    <xf numFmtId="0" fontId="5" fillId="4" borderId="80" xfId="0" applyFont="1" applyFill="1" applyBorder="1" applyAlignment="1">
      <alignment horizontal="center" vertical="top"/>
    </xf>
    <xf numFmtId="0" fontId="1" fillId="4" borderId="56" xfId="0" applyFont="1" applyFill="1" applyBorder="1" applyAlignment="1">
      <alignment horizontal="center"/>
    </xf>
    <xf numFmtId="0" fontId="0" fillId="4" borderId="57" xfId="0" applyFill="1" applyBorder="1" applyAlignment="1">
      <alignment horizontal="center"/>
    </xf>
    <xf numFmtId="0" fontId="0" fillId="4" borderId="58" xfId="0" applyFill="1" applyBorder="1" applyAlignment="1">
      <alignment horizontal="center"/>
    </xf>
    <xf numFmtId="0" fontId="7" fillId="5" borderId="1" xfId="0" applyFont="1" applyFill="1" applyBorder="1" applyAlignment="1">
      <alignment horizontal="center" vertical="top" wrapText="1"/>
    </xf>
    <xf numFmtId="0" fontId="24" fillId="3" borderId="27" xfId="0" applyFont="1" applyFill="1" applyBorder="1" applyAlignment="1">
      <alignment horizontal="left" wrapText="1"/>
    </xf>
    <xf numFmtId="0" fontId="24" fillId="3" borderId="11" xfId="0" applyFont="1" applyFill="1" applyBorder="1" applyAlignment="1">
      <alignment horizontal="left" wrapText="1"/>
    </xf>
    <xf numFmtId="0" fontId="24" fillId="3" borderId="67" xfId="0" applyFont="1" applyFill="1" applyBorder="1" applyAlignment="1">
      <alignment horizontal="left" wrapText="1"/>
    </xf>
    <xf numFmtId="0" fontId="24" fillId="3" borderId="5" xfId="0" applyFont="1" applyFill="1" applyBorder="1" applyAlignment="1">
      <alignment horizontal="left" vertical="center" wrapText="1"/>
    </xf>
    <xf numFmtId="0" fontId="24" fillId="3" borderId="0" xfId="0" applyFont="1" applyFill="1" applyBorder="1" applyAlignment="1">
      <alignment horizontal="left" vertical="center" wrapText="1"/>
    </xf>
    <xf numFmtId="0" fontId="24" fillId="3" borderId="4" xfId="0" applyFont="1" applyFill="1" applyBorder="1" applyAlignment="1">
      <alignment horizontal="left" vertical="center" wrapText="1"/>
    </xf>
    <xf numFmtId="0" fontId="8" fillId="5" borderId="61" xfId="0" applyFont="1" applyFill="1" applyBorder="1" applyAlignment="1">
      <alignment horizontal="center" vertical="center" wrapText="1"/>
    </xf>
    <xf numFmtId="0" fontId="8" fillId="5" borderId="62" xfId="0" applyFont="1" applyFill="1" applyBorder="1" applyAlignment="1">
      <alignment horizontal="center" vertical="center" wrapText="1"/>
    </xf>
    <xf numFmtId="0" fontId="8" fillId="5" borderId="53" xfId="0" applyFont="1" applyFill="1" applyBorder="1" applyAlignment="1">
      <alignment horizontal="center" vertical="center" wrapText="1"/>
    </xf>
    <xf numFmtId="0" fontId="7" fillId="5" borderId="54" xfId="0" applyFont="1" applyFill="1" applyBorder="1" applyAlignment="1">
      <alignment horizontal="left" wrapText="1"/>
    </xf>
    <xf numFmtId="0" fontId="7" fillId="5" borderId="0" xfId="0" applyFont="1" applyFill="1" applyBorder="1" applyAlignment="1">
      <alignment horizontal="left" wrapText="1"/>
    </xf>
    <xf numFmtId="0" fontId="7" fillId="5" borderId="4" xfId="0" applyFont="1" applyFill="1" applyBorder="1" applyAlignment="1">
      <alignment horizontal="left" wrapText="1"/>
    </xf>
    <xf numFmtId="0" fontId="7" fillId="5" borderId="1" xfId="0" applyFont="1" applyFill="1" applyBorder="1" applyAlignment="1">
      <alignment horizontal="left" wrapText="1"/>
    </xf>
    <xf numFmtId="0" fontId="7" fillId="5" borderId="13" xfId="0" applyFont="1" applyFill="1" applyBorder="1" applyAlignment="1">
      <alignment horizontal="left" wrapText="1"/>
    </xf>
    <xf numFmtId="0" fontId="7" fillId="5" borderId="3" xfId="0" applyFont="1" applyFill="1" applyBorder="1" applyAlignment="1">
      <alignment horizontal="center" vertical="top" wrapText="1"/>
    </xf>
    <xf numFmtId="0" fontId="7" fillId="5" borderId="47" xfId="0" applyFont="1" applyFill="1" applyBorder="1" applyAlignment="1">
      <alignment horizontal="center" vertical="top" wrapText="1"/>
    </xf>
    <xf numFmtId="0" fontId="7" fillId="5" borderId="40" xfId="0" applyFont="1" applyFill="1" applyBorder="1" applyAlignment="1">
      <alignment horizontal="center" vertical="top" wrapText="1"/>
    </xf>
    <xf numFmtId="0" fontId="32" fillId="4" borderId="27" xfId="0" applyFont="1" applyFill="1" applyBorder="1" applyAlignment="1">
      <alignment horizontal="center" vertical="center" wrapText="1"/>
    </xf>
    <xf numFmtId="0" fontId="32" fillId="4" borderId="11" xfId="0" applyFont="1" applyFill="1" applyBorder="1" applyAlignment="1">
      <alignment horizontal="center" vertical="center" wrapText="1"/>
    </xf>
    <xf numFmtId="0" fontId="32" fillId="4" borderId="80" xfId="0" applyFont="1" applyFill="1" applyBorder="1" applyAlignment="1">
      <alignment horizontal="center" vertical="center" wrapText="1"/>
    </xf>
    <xf numFmtId="0" fontId="19" fillId="4" borderId="56" xfId="0" applyFont="1" applyFill="1" applyBorder="1" applyAlignment="1">
      <alignment horizontal="center" vertical="center" wrapText="1"/>
    </xf>
    <xf numFmtId="0" fontId="19" fillId="4" borderId="57" xfId="0" applyFont="1" applyFill="1" applyBorder="1" applyAlignment="1">
      <alignment horizontal="center" vertical="center" wrapText="1"/>
    </xf>
    <xf numFmtId="0" fontId="19" fillId="4" borderId="58" xfId="0" applyFont="1" applyFill="1" applyBorder="1" applyAlignment="1">
      <alignment horizontal="center" vertical="center" wrapText="1"/>
    </xf>
    <xf numFmtId="0" fontId="8" fillId="0" borderId="72" xfId="0" applyFont="1" applyBorder="1" applyAlignment="1">
      <alignment horizontal="center" vertical="center" wrapText="1"/>
    </xf>
    <xf numFmtId="0" fontId="8" fillId="0" borderId="62" xfId="0" applyFont="1" applyBorder="1" applyAlignment="1">
      <alignment horizontal="center" vertical="center" wrapText="1"/>
    </xf>
    <xf numFmtId="0" fontId="8" fillId="0" borderId="53" xfId="0" applyFont="1" applyBorder="1" applyAlignment="1">
      <alignment horizontal="center" vertical="center" wrapText="1"/>
    </xf>
    <xf numFmtId="0" fontId="7" fillId="5" borderId="66" xfId="0" applyFont="1" applyFill="1" applyBorder="1" applyAlignment="1">
      <alignment horizontal="left" wrapText="1"/>
    </xf>
    <xf numFmtId="0" fontId="7" fillId="5" borderId="18" xfId="0" applyFont="1" applyFill="1" applyBorder="1" applyAlignment="1">
      <alignment horizontal="left" wrapText="1"/>
    </xf>
    <xf numFmtId="0" fontId="7" fillId="5" borderId="16" xfId="0" applyFont="1" applyFill="1" applyBorder="1" applyAlignment="1">
      <alignment horizontal="left" wrapText="1"/>
    </xf>
    <xf numFmtId="0" fontId="7" fillId="0" borderId="73" xfId="0" applyFont="1" applyBorder="1" applyAlignment="1">
      <alignment horizontal="center" wrapText="1"/>
    </xf>
    <xf numFmtId="0" fontId="7" fillId="0" borderId="48" xfId="0" applyFont="1" applyBorder="1" applyAlignment="1">
      <alignment horizontal="center" wrapText="1"/>
    </xf>
    <xf numFmtId="0" fontId="7" fillId="0" borderId="51" xfId="0" applyFont="1" applyBorder="1" applyAlignment="1">
      <alignment horizontal="center" wrapText="1"/>
    </xf>
    <xf numFmtId="0" fontId="15" fillId="11" borderId="5" xfId="0" applyFont="1" applyFill="1" applyBorder="1" applyAlignment="1">
      <alignment horizontal="center" vertical="center"/>
    </xf>
    <xf numFmtId="0" fontId="15" fillId="11" borderId="0" xfId="0" applyFont="1" applyFill="1" applyBorder="1" applyAlignment="1">
      <alignment horizontal="center" vertical="center"/>
    </xf>
    <xf numFmtId="0" fontId="27" fillId="3" borderId="56" xfId="0" applyFont="1" applyFill="1" applyBorder="1" applyAlignment="1">
      <alignment horizontal="center" vertical="center" wrapText="1"/>
    </xf>
    <xf numFmtId="0" fontId="27" fillId="3" borderId="57" xfId="0" applyFont="1" applyFill="1" applyBorder="1" applyAlignment="1">
      <alignment horizontal="center" vertical="center" wrapText="1"/>
    </xf>
    <xf numFmtId="0" fontId="27" fillId="3" borderId="58" xfId="0" applyFont="1" applyFill="1" applyBorder="1" applyAlignment="1">
      <alignment horizontal="center" vertical="center" wrapText="1"/>
    </xf>
    <xf numFmtId="0" fontId="27" fillId="3" borderId="56" xfId="0" applyFont="1" applyFill="1" applyBorder="1" applyAlignment="1">
      <alignment horizontal="center" vertical="top" wrapText="1"/>
    </xf>
    <xf numFmtId="0" fontId="27" fillId="3" borderId="57" xfId="0" applyFont="1" applyFill="1" applyBorder="1" applyAlignment="1">
      <alignment horizontal="center" vertical="top" wrapText="1"/>
    </xf>
    <xf numFmtId="0" fontId="27" fillId="3" borderId="58" xfId="0" applyFont="1" applyFill="1" applyBorder="1" applyAlignment="1">
      <alignment horizontal="center" vertical="top" wrapText="1"/>
    </xf>
    <xf numFmtId="0" fontId="2" fillId="12" borderId="56" xfId="0" applyFont="1" applyFill="1" applyBorder="1" applyAlignment="1">
      <alignment horizontal="center" vertical="center" wrapText="1"/>
    </xf>
    <xf numFmtId="0" fontId="2" fillId="12" borderId="57" xfId="0" applyFont="1" applyFill="1" applyBorder="1" applyAlignment="1">
      <alignment horizontal="center" vertical="center" wrapText="1"/>
    </xf>
    <xf numFmtId="0" fontId="2" fillId="12" borderId="58" xfId="0" applyFont="1" applyFill="1" applyBorder="1" applyAlignment="1">
      <alignment horizontal="center" vertical="center" wrapText="1"/>
    </xf>
    <xf numFmtId="0" fontId="2" fillId="4" borderId="56" xfId="0" applyFont="1" applyFill="1" applyBorder="1" applyAlignment="1">
      <alignment horizontal="center" wrapText="1"/>
    </xf>
    <xf numFmtId="0" fontId="2" fillId="4" borderId="57" xfId="0" applyFont="1" applyFill="1" applyBorder="1" applyAlignment="1">
      <alignment horizontal="center" wrapText="1"/>
    </xf>
    <xf numFmtId="0" fontId="2" fillId="4" borderId="58" xfId="0" applyFont="1" applyFill="1" applyBorder="1" applyAlignment="1">
      <alignment horizontal="center" wrapText="1"/>
    </xf>
    <xf numFmtId="0" fontId="22" fillId="0" borderId="86" xfId="0" applyFont="1" applyBorder="1" applyAlignment="1">
      <alignment horizontal="center" vertical="top" wrapText="1"/>
    </xf>
    <xf numFmtId="0" fontId="22" fillId="0" borderId="88" xfId="0" applyFont="1" applyBorder="1" applyAlignment="1">
      <alignment horizontal="center" vertical="top" wrapText="1"/>
    </xf>
    <xf numFmtId="0" fontId="22" fillId="0" borderId="87" xfId="0" applyFont="1" applyBorder="1" applyAlignment="1">
      <alignment horizontal="center" vertical="top" wrapText="1"/>
    </xf>
    <xf numFmtId="0" fontId="11" fillId="0" borderId="50" xfId="0" applyFont="1" applyBorder="1" applyAlignment="1">
      <alignment horizontal="center" vertical="top" wrapText="1"/>
    </xf>
    <xf numFmtId="0" fontId="11" fillId="0" borderId="48" xfId="0" applyFont="1" applyBorder="1" applyAlignment="1">
      <alignment horizontal="center" vertical="top" wrapText="1"/>
    </xf>
    <xf numFmtId="0" fontId="11" fillId="0" borderId="51" xfId="0" applyFont="1" applyBorder="1" applyAlignment="1">
      <alignment horizontal="center" vertical="top" wrapText="1"/>
    </xf>
    <xf numFmtId="0" fontId="8" fillId="7" borderId="84" xfId="0" applyFont="1" applyFill="1" applyBorder="1" applyAlignment="1">
      <alignment horizontal="center" vertical="center" wrapText="1"/>
    </xf>
    <xf numFmtId="0" fontId="8" fillId="7" borderId="26" xfId="0" applyFont="1" applyFill="1" applyBorder="1" applyAlignment="1">
      <alignment horizontal="center" vertical="center" wrapText="1"/>
    </xf>
    <xf numFmtId="0" fontId="8" fillId="0" borderId="19" xfId="0" applyFont="1" applyBorder="1" applyAlignment="1">
      <alignment horizontal="left" vertical="top" wrapText="1"/>
    </xf>
    <xf numFmtId="0" fontId="8" fillId="0" borderId="18" xfId="0" applyFont="1" applyBorder="1" applyAlignment="1">
      <alignment horizontal="left" vertical="top" wrapText="1"/>
    </xf>
    <xf numFmtId="0" fontId="8" fillId="0" borderId="16" xfId="0" applyFont="1" applyBorder="1" applyAlignment="1">
      <alignment horizontal="left" vertical="top" wrapText="1"/>
    </xf>
    <xf numFmtId="0" fontId="6" fillId="0" borderId="56" xfId="0" applyFont="1" applyBorder="1" applyAlignment="1">
      <alignment horizontal="left" vertical="center" wrapText="1"/>
    </xf>
    <xf numFmtId="0" fontId="6" fillId="0" borderId="57" xfId="0" applyFont="1" applyBorder="1" applyAlignment="1">
      <alignment horizontal="left" vertical="center" wrapText="1"/>
    </xf>
    <xf numFmtId="0" fontId="6" fillId="0" borderId="91" xfId="0" applyFont="1" applyBorder="1" applyAlignment="1">
      <alignment horizontal="center" vertical="top" wrapText="1"/>
    </xf>
    <xf numFmtId="0" fontId="6" fillId="0" borderId="62" xfId="0" applyFont="1" applyBorder="1" applyAlignment="1">
      <alignment horizontal="center" vertical="top" wrapText="1"/>
    </xf>
    <xf numFmtId="0" fontId="6" fillId="0" borderId="53" xfId="0" applyFont="1" applyBorder="1" applyAlignment="1">
      <alignment horizontal="center" vertical="top" wrapText="1"/>
    </xf>
    <xf numFmtId="0" fontId="22" fillId="0" borderId="49" xfId="0" applyFont="1" applyBorder="1" applyAlignment="1">
      <alignment horizontal="center" vertical="top" wrapText="1"/>
    </xf>
    <xf numFmtId="0" fontId="22" fillId="0" borderId="47" xfId="0" applyFont="1" applyBorder="1" applyAlignment="1">
      <alignment horizontal="center" vertical="top" wrapText="1"/>
    </xf>
    <xf numFmtId="0" fontId="22" fillId="0" borderId="17" xfId="0" applyFont="1" applyBorder="1" applyAlignment="1">
      <alignment horizontal="center" vertical="top" wrapText="1"/>
    </xf>
    <xf numFmtId="0" fontId="0" fillId="7" borderId="1" xfId="0" applyFill="1" applyBorder="1" applyAlignment="1">
      <alignment wrapText="1"/>
    </xf>
    <xf numFmtId="0" fontId="0" fillId="7" borderId="13" xfId="0" applyFill="1" applyBorder="1" applyAlignment="1">
      <alignment wrapText="1"/>
    </xf>
    <xf numFmtId="0" fontId="27" fillId="3" borderId="56" xfId="0" applyFont="1" applyFill="1" applyBorder="1" applyAlignment="1">
      <alignment horizontal="left" vertical="center" wrapText="1"/>
    </xf>
    <xf numFmtId="0" fontId="27" fillId="3" borderId="57" xfId="0" applyFont="1" applyFill="1" applyBorder="1" applyAlignment="1">
      <alignment horizontal="left" vertical="center" wrapText="1"/>
    </xf>
    <xf numFmtId="0" fontId="27" fillId="3" borderId="58" xfId="0" applyFont="1" applyFill="1" applyBorder="1" applyAlignment="1">
      <alignment horizontal="left" vertical="center" wrapText="1"/>
    </xf>
    <xf numFmtId="0" fontId="0" fillId="7" borderId="2" xfId="0" applyFill="1" applyBorder="1" applyAlignment="1">
      <alignment wrapText="1"/>
    </xf>
    <xf numFmtId="0" fontId="0" fillId="7" borderId="14" xfId="0" applyFill="1" applyBorder="1" applyAlignment="1">
      <alignment wrapText="1"/>
    </xf>
    <xf numFmtId="0" fontId="8" fillId="5" borderId="46" xfId="0" applyFont="1" applyFill="1" applyBorder="1" applyAlignment="1">
      <alignment horizontal="left" vertical="top" wrapText="1"/>
    </xf>
    <xf numFmtId="0" fontId="8" fillId="5" borderId="43" xfId="0" applyFont="1" applyFill="1" applyBorder="1" applyAlignment="1">
      <alignment horizontal="left" vertical="top" wrapText="1"/>
    </xf>
    <xf numFmtId="0" fontId="27" fillId="0" borderId="56" xfId="0" applyFont="1" applyFill="1" applyBorder="1" applyAlignment="1">
      <alignment horizontal="center" vertical="top" wrapText="1"/>
    </xf>
    <xf numFmtId="0" fontId="27" fillId="0" borderId="57" xfId="0" applyFont="1" applyFill="1" applyBorder="1" applyAlignment="1">
      <alignment horizontal="center" vertical="top" wrapText="1"/>
    </xf>
    <xf numFmtId="0" fontId="27" fillId="0" borderId="58" xfId="0" applyFont="1" applyFill="1" applyBorder="1" applyAlignment="1">
      <alignment horizontal="center" vertical="top" wrapText="1"/>
    </xf>
    <xf numFmtId="0" fontId="15" fillId="6" borderId="56" xfId="0" applyFont="1" applyFill="1" applyBorder="1" applyAlignment="1">
      <alignment horizontal="center"/>
    </xf>
    <xf numFmtId="0" fontId="15" fillId="6" borderId="57" xfId="0" applyFont="1" applyFill="1" applyBorder="1" applyAlignment="1">
      <alignment horizontal="center"/>
    </xf>
    <xf numFmtId="0" fontId="15" fillId="6" borderId="58" xfId="0" applyFont="1" applyFill="1" applyBorder="1" applyAlignment="1">
      <alignment horizontal="center"/>
    </xf>
    <xf numFmtId="0" fontId="0" fillId="7" borderId="41" xfId="0" applyFill="1" applyBorder="1" applyAlignment="1">
      <alignment wrapText="1"/>
    </xf>
    <xf numFmtId="0" fontId="0" fillId="7" borderId="15" xfId="0" applyFill="1" applyBorder="1" applyAlignment="1">
      <alignment wrapText="1"/>
    </xf>
    <xf numFmtId="0" fontId="7" fillId="5" borderId="71" xfId="0" applyFont="1" applyFill="1" applyBorder="1" applyAlignment="1">
      <alignment horizontal="center" vertical="top" wrapText="1"/>
    </xf>
    <xf numFmtId="0" fontId="7" fillId="5" borderId="93" xfId="0" applyFont="1" applyFill="1" applyBorder="1" applyAlignment="1">
      <alignment horizontal="center" vertical="top" wrapText="1"/>
    </xf>
    <xf numFmtId="0" fontId="1" fillId="8" borderId="56" xfId="0" applyFont="1" applyFill="1" applyBorder="1" applyAlignment="1">
      <alignment horizontal="center"/>
    </xf>
    <xf numFmtId="0" fontId="1" fillId="8" borderId="57" xfId="0" applyFont="1" applyFill="1" applyBorder="1" applyAlignment="1">
      <alignment horizontal="center"/>
    </xf>
    <xf numFmtId="0" fontId="1" fillId="8" borderId="58" xfId="0" applyFont="1" applyFill="1" applyBorder="1" applyAlignment="1">
      <alignment horizontal="center"/>
    </xf>
    <xf numFmtId="0" fontId="1" fillId="0" borderId="44" xfId="0" applyFont="1" applyBorder="1" applyAlignment="1">
      <alignment horizontal="center"/>
    </xf>
    <xf numFmtId="0" fontId="1" fillId="0" borderId="36" xfId="0" applyFont="1" applyBorder="1" applyAlignment="1">
      <alignment horizontal="center"/>
    </xf>
    <xf numFmtId="0" fontId="1" fillId="0" borderId="37" xfId="0" applyFont="1" applyBorder="1" applyAlignment="1">
      <alignment horizontal="center"/>
    </xf>
    <xf numFmtId="0" fontId="1" fillId="0" borderId="35" xfId="0" applyFont="1" applyBorder="1" applyAlignment="1">
      <alignment horizontal="center"/>
    </xf>
    <xf numFmtId="0" fontId="1" fillId="0" borderId="38" xfId="0" applyFont="1" applyBorder="1" applyAlignment="1">
      <alignment horizontal="center"/>
    </xf>
    <xf numFmtId="0" fontId="8" fillId="5" borderId="45" xfId="0" applyFont="1" applyFill="1" applyBorder="1" applyAlignment="1">
      <alignment horizontal="left" vertical="top" wrapText="1"/>
    </xf>
    <xf numFmtId="0" fontId="8" fillId="5" borderId="42" xfId="0" applyFont="1" applyFill="1" applyBorder="1" applyAlignment="1">
      <alignment horizontal="left" vertical="top" wrapText="1"/>
    </xf>
    <xf numFmtId="0" fontId="15" fillId="6" borderId="77" xfId="0" applyFont="1" applyFill="1" applyBorder="1" applyAlignment="1">
      <alignment horizontal="center" vertical="center"/>
    </xf>
    <xf numFmtId="0" fontId="15" fillId="6" borderId="78" xfId="0" applyFont="1" applyFill="1" applyBorder="1" applyAlignment="1">
      <alignment horizontal="center" vertical="center"/>
    </xf>
    <xf numFmtId="0" fontId="15" fillId="6" borderId="79" xfId="0" applyFont="1" applyFill="1" applyBorder="1" applyAlignment="1">
      <alignment horizontal="center" vertical="center"/>
    </xf>
    <xf numFmtId="0" fontId="27" fillId="14" borderId="52" xfId="0" applyFont="1" applyFill="1" applyBorder="1" applyAlignment="1">
      <alignment horizontal="center" wrapText="1"/>
    </xf>
    <xf numFmtId="0" fontId="27" fillId="14" borderId="1" xfId="0" applyFont="1" applyFill="1" applyBorder="1" applyAlignment="1">
      <alignment horizontal="center" wrapText="1"/>
    </xf>
    <xf numFmtId="0" fontId="27" fillId="14" borderId="13" xfId="0" applyFont="1" applyFill="1" applyBorder="1" applyAlignment="1">
      <alignment horizontal="center" wrapText="1"/>
    </xf>
    <xf numFmtId="0" fontId="27" fillId="14" borderId="50" xfId="0" applyFont="1" applyFill="1" applyBorder="1" applyAlignment="1">
      <alignment horizontal="left" vertical="center" wrapText="1"/>
    </xf>
    <xf numFmtId="0" fontId="4" fillId="14" borderId="48" xfId="0" applyFont="1" applyFill="1" applyBorder="1" applyAlignment="1">
      <alignment horizontal="left" vertical="center" wrapText="1"/>
    </xf>
    <xf numFmtId="0" fontId="4" fillId="14" borderId="51" xfId="0" applyFont="1" applyFill="1" applyBorder="1" applyAlignment="1">
      <alignment horizontal="left" vertical="center" wrapText="1"/>
    </xf>
    <xf numFmtId="0" fontId="19" fillId="0" borderId="50" xfId="0" applyFont="1" applyBorder="1" applyAlignment="1">
      <alignment vertical="top" wrapText="1"/>
    </xf>
    <xf numFmtId="0" fontId="0" fillId="0" borderId="48" xfId="0" applyBorder="1" applyAlignment="1">
      <alignment vertical="top" wrapText="1"/>
    </xf>
    <xf numFmtId="0" fontId="0" fillId="0" borderId="51" xfId="0" applyBorder="1" applyAlignment="1">
      <alignment vertical="top" wrapText="1"/>
    </xf>
    <xf numFmtId="0" fontId="0" fillId="0" borderId="5" xfId="0" applyBorder="1" applyAlignment="1">
      <alignment vertical="top" wrapText="1"/>
    </xf>
    <xf numFmtId="0" fontId="0" fillId="0" borderId="0" xfId="0" applyBorder="1" applyAlignment="1">
      <alignment vertical="top" wrapText="1"/>
    </xf>
    <xf numFmtId="0" fontId="0" fillId="0" borderId="4" xfId="0" applyBorder="1" applyAlignment="1">
      <alignment vertical="top" wrapText="1"/>
    </xf>
    <xf numFmtId="0" fontId="0" fillId="0" borderId="19" xfId="0" applyBorder="1" applyAlignment="1">
      <alignment vertical="top" wrapText="1"/>
    </xf>
    <xf numFmtId="0" fontId="0" fillId="0" borderId="18" xfId="0" applyBorder="1" applyAlignment="1">
      <alignment vertical="top" wrapText="1"/>
    </xf>
    <xf numFmtId="0" fontId="0" fillId="0" borderId="16" xfId="0" applyBorder="1" applyAlignment="1">
      <alignment vertical="top" wrapText="1"/>
    </xf>
    <xf numFmtId="0" fontId="15" fillId="6" borderId="6" xfId="0" applyFont="1" applyFill="1" applyBorder="1" applyAlignment="1">
      <alignment horizontal="center" vertical="center"/>
    </xf>
    <xf numFmtId="0" fontId="29" fillId="6" borderId="7" xfId="0" applyFont="1" applyFill="1" applyBorder="1" applyAlignment="1">
      <alignment horizontal="center" vertical="center"/>
    </xf>
    <xf numFmtId="0" fontId="29" fillId="6" borderId="8" xfId="0" applyFont="1" applyFill="1" applyBorder="1" applyAlignment="1">
      <alignment horizontal="center" vertical="center"/>
    </xf>
    <xf numFmtId="0" fontId="27" fillId="14" borderId="49" xfId="0" applyFont="1" applyFill="1" applyBorder="1" applyAlignment="1">
      <alignment horizontal="left" wrapText="1"/>
    </xf>
    <xf numFmtId="0" fontId="4" fillId="14" borderId="47" xfId="0" applyFont="1" applyFill="1" applyBorder="1" applyAlignment="1">
      <alignment horizontal="left" wrapText="1"/>
    </xf>
    <xf numFmtId="0" fontId="4" fillId="14" borderId="17" xfId="0" applyFont="1" applyFill="1" applyBorder="1" applyAlignment="1">
      <alignment horizontal="left" wrapText="1"/>
    </xf>
    <xf numFmtId="0" fontId="27" fillId="14" borderId="50" xfId="0" applyFont="1" applyFill="1" applyBorder="1" applyAlignment="1">
      <alignment horizontal="left" wrapText="1"/>
    </xf>
    <xf numFmtId="0" fontId="4" fillId="14" borderId="48" xfId="0" applyFont="1" applyFill="1" applyBorder="1" applyAlignment="1">
      <alignment horizontal="left" wrapText="1"/>
    </xf>
    <xf numFmtId="0" fontId="4" fillId="14" borderId="51" xfId="0" applyFont="1" applyFill="1" applyBorder="1" applyAlignment="1">
      <alignment horizontal="left" wrapText="1"/>
    </xf>
    <xf numFmtId="0" fontId="21" fillId="9" borderId="49" xfId="0" applyFont="1" applyFill="1" applyBorder="1" applyAlignment="1">
      <alignment horizontal="center" wrapText="1"/>
    </xf>
    <xf numFmtId="0" fontId="10" fillId="9" borderId="47" xfId="0" applyFont="1" applyFill="1" applyBorder="1" applyAlignment="1">
      <alignment horizontal="center" wrapText="1"/>
    </xf>
    <xf numFmtId="0" fontId="10" fillId="9" borderId="17" xfId="0" applyFont="1" applyFill="1" applyBorder="1" applyAlignment="1">
      <alignment horizontal="center" wrapText="1"/>
    </xf>
    <xf numFmtId="0" fontId="13" fillId="9" borderId="47" xfId="0" applyFont="1" applyFill="1" applyBorder="1" applyAlignment="1">
      <alignment horizontal="center" wrapText="1"/>
    </xf>
    <xf numFmtId="0" fontId="13" fillId="9" borderId="17" xfId="0" applyFont="1" applyFill="1" applyBorder="1" applyAlignment="1">
      <alignment horizontal="center" wrapText="1"/>
    </xf>
    <xf numFmtId="0" fontId="2" fillId="2" borderId="3" xfId="0" applyFont="1" applyFill="1" applyBorder="1" applyAlignment="1">
      <alignment horizontal="center" vertical="center"/>
    </xf>
    <xf numFmtId="0" fontId="2" fillId="2" borderId="17" xfId="0" applyFont="1" applyFill="1" applyBorder="1" applyAlignment="1">
      <alignment horizontal="center" vertical="center"/>
    </xf>
    <xf numFmtId="0" fontId="20" fillId="0" borderId="3" xfId="0" applyFont="1" applyBorder="1" applyAlignment="1">
      <alignment vertical="top" wrapText="1"/>
    </xf>
    <xf numFmtId="0" fontId="20" fillId="0" borderId="17" xfId="0" applyFont="1" applyBorder="1" applyAlignment="1">
      <alignment vertical="top" wrapText="1"/>
    </xf>
    <xf numFmtId="0" fontId="20" fillId="0" borderId="3" xfId="0" applyFont="1" applyFill="1" applyBorder="1" applyAlignment="1">
      <alignment vertical="top" wrapText="1"/>
    </xf>
    <xf numFmtId="0" fontId="20" fillId="0" borderId="17" xfId="0" applyFont="1" applyFill="1" applyBorder="1" applyAlignment="1">
      <alignment vertical="top" wrapText="1"/>
    </xf>
    <xf numFmtId="0" fontId="4" fillId="0" borderId="3" xfId="0" applyFont="1" applyBorder="1" applyAlignment="1">
      <alignment wrapText="1"/>
    </xf>
    <xf numFmtId="0" fontId="4" fillId="0" borderId="17" xfId="0" applyFont="1" applyBorder="1" applyAlignment="1">
      <alignment wrapText="1"/>
    </xf>
    <xf numFmtId="0" fontId="11" fillId="0" borderId="5" xfId="0" applyFont="1" applyFill="1" applyBorder="1" applyAlignment="1">
      <alignment horizontal="left" vertical="top" wrapText="1"/>
    </xf>
    <xf numFmtId="0" fontId="11" fillId="0" borderId="0" xfId="0" applyFont="1" applyFill="1" applyBorder="1" applyAlignment="1">
      <alignment horizontal="left" vertical="top" wrapText="1"/>
    </xf>
    <xf numFmtId="0" fontId="11" fillId="0" borderId="4" xfId="0" applyFont="1" applyFill="1" applyBorder="1" applyAlignment="1">
      <alignment horizontal="left" vertical="top" wrapText="1"/>
    </xf>
    <xf numFmtId="0" fontId="11" fillId="0" borderId="19" xfId="0" applyFont="1" applyFill="1" applyBorder="1" applyAlignment="1">
      <alignment horizontal="left" vertical="top" wrapText="1"/>
    </xf>
    <xf numFmtId="0" fontId="11" fillId="0" borderId="18" xfId="0" applyFont="1" applyFill="1" applyBorder="1" applyAlignment="1">
      <alignment horizontal="left" vertical="top" wrapText="1"/>
    </xf>
    <xf numFmtId="0" fontId="11" fillId="0" borderId="16" xfId="0" applyFont="1" applyFill="1" applyBorder="1" applyAlignment="1">
      <alignment horizontal="left" vertical="top" wrapText="1"/>
    </xf>
    <xf numFmtId="0" fontId="28" fillId="11" borderId="56" xfId="0" applyFont="1" applyFill="1" applyBorder="1" applyAlignment="1">
      <alignment horizontal="center" vertical="center"/>
    </xf>
    <xf numFmtId="0" fontId="28" fillId="11" borderId="57" xfId="0" applyFont="1" applyFill="1" applyBorder="1" applyAlignment="1">
      <alignment horizontal="center" vertical="center"/>
    </xf>
    <xf numFmtId="0" fontId="28" fillId="11" borderId="58" xfId="0" applyFont="1" applyFill="1" applyBorder="1" applyAlignment="1">
      <alignment horizontal="center" vertical="center"/>
    </xf>
    <xf numFmtId="0" fontId="30" fillId="14" borderId="77" xfId="0" applyFont="1" applyFill="1" applyBorder="1" applyAlignment="1">
      <alignment horizontal="center" vertical="center" wrapText="1"/>
    </xf>
    <xf numFmtId="0" fontId="30" fillId="14" borderId="78" xfId="0" applyFont="1" applyFill="1" applyBorder="1" applyAlignment="1">
      <alignment horizontal="center" vertical="center"/>
    </xf>
    <xf numFmtId="0" fontId="30" fillId="14" borderId="79" xfId="0" applyFont="1" applyFill="1" applyBorder="1" applyAlignment="1">
      <alignment horizontal="center" vertical="center"/>
    </xf>
    <xf numFmtId="0" fontId="30" fillId="14" borderId="52" xfId="0" applyFont="1" applyFill="1" applyBorder="1" applyAlignment="1">
      <alignment horizontal="center" vertical="center" wrapText="1"/>
    </xf>
    <xf numFmtId="0" fontId="30" fillId="14" borderId="1" xfId="0" applyFont="1" applyFill="1" applyBorder="1" applyAlignment="1">
      <alignment horizontal="center" vertical="center" wrapText="1"/>
    </xf>
    <xf numFmtId="0" fontId="30" fillId="14" borderId="13" xfId="0" applyFont="1" applyFill="1" applyBorder="1" applyAlignment="1">
      <alignment horizontal="center" vertical="center" wrapText="1"/>
    </xf>
    <xf numFmtId="0" fontId="30" fillId="13" borderId="52" xfId="0" applyFont="1" applyFill="1" applyBorder="1" applyAlignment="1">
      <alignment horizontal="center" vertical="center" wrapText="1"/>
    </xf>
    <xf numFmtId="0" fontId="30" fillId="13" borderId="1" xfId="0" applyFont="1" applyFill="1" applyBorder="1" applyAlignment="1">
      <alignment horizontal="center" vertical="center" wrapText="1"/>
    </xf>
    <xf numFmtId="0" fontId="30" fillId="13" borderId="13" xfId="0" applyFont="1" applyFill="1" applyBorder="1" applyAlignment="1">
      <alignment horizontal="center" vertical="center" wrapText="1"/>
    </xf>
    <xf numFmtId="0" fontId="30" fillId="14" borderId="29" xfId="0" applyFont="1" applyFill="1" applyBorder="1" applyAlignment="1">
      <alignment horizontal="center" vertical="center" wrapText="1"/>
    </xf>
    <xf numFmtId="0" fontId="30" fillId="14" borderId="89" xfId="0" applyFont="1" applyFill="1" applyBorder="1" applyAlignment="1">
      <alignment horizontal="center" vertical="center" wrapText="1"/>
    </xf>
    <xf numFmtId="0" fontId="30" fillId="14" borderId="90" xfId="0" applyFont="1" applyFill="1" applyBorder="1" applyAlignment="1">
      <alignment horizontal="center" vertical="center" wrapText="1"/>
    </xf>
    <xf numFmtId="0" fontId="0" fillId="0" borderId="0" xfId="0" applyFont="1" applyAlignment="1">
      <alignment vertical="top" wrapText="1"/>
    </xf>
    <xf numFmtId="0" fontId="1" fillId="0" borderId="0" xfId="0" applyFont="1" applyAlignment="1">
      <alignment vertical="top"/>
    </xf>
  </cellXfs>
  <cellStyles count="1">
    <cellStyle name="Normal" xfId="0" builtinId="0"/>
  </cellStyles>
  <dxfs count="40">
    <dxf>
      <fill>
        <patternFill patternType="darkUp"/>
      </fill>
    </dxf>
    <dxf>
      <fill>
        <patternFill patternType="darkUp"/>
      </fill>
    </dxf>
    <dxf>
      <fill>
        <patternFill patternType="darkUp"/>
      </fill>
    </dxf>
    <dxf>
      <fill>
        <patternFill>
          <bgColor rgb="FFFFFF00"/>
        </patternFill>
      </fill>
    </dxf>
    <dxf>
      <fill>
        <patternFill>
          <bgColor rgb="FFFFFF00"/>
        </patternFill>
      </fill>
    </dxf>
    <dxf>
      <font>
        <color theme="0" tint="-0.34998626667073579"/>
      </font>
      <fill>
        <patternFill patternType="solid">
          <bgColor theme="0" tint="-0.34998626667073579"/>
        </patternFill>
      </fill>
    </dxf>
    <dxf>
      <font>
        <color auto="1"/>
      </font>
      <fill>
        <patternFill>
          <bgColor rgb="FFFFFF00"/>
        </patternFill>
      </fill>
    </dxf>
    <dxf>
      <fill>
        <patternFill patternType="gray125">
          <bgColor theme="0" tint="-0.14996795556505021"/>
        </patternFill>
      </fill>
    </dxf>
    <dxf>
      <fill>
        <patternFill patternType="gray125">
          <bgColor theme="0" tint="-0.14996795556505021"/>
        </patternFill>
      </fill>
    </dxf>
    <dxf>
      <fill>
        <patternFill patternType="gray125">
          <bgColor theme="0" tint="-0.14996795556505021"/>
        </patternFill>
      </fill>
    </dxf>
    <dxf>
      <fill>
        <patternFill patternType="gray125">
          <bgColor theme="0" tint="-0.14996795556505021"/>
        </patternFill>
      </fill>
    </dxf>
    <dxf>
      <fill>
        <patternFill patternType="gray125">
          <bgColor theme="0" tint="-0.14996795556505021"/>
        </patternFill>
      </fill>
    </dxf>
    <dxf>
      <fill>
        <patternFill patternType="gray125">
          <bgColor theme="0" tint="-0.14996795556505021"/>
        </patternFill>
      </fill>
    </dxf>
    <dxf>
      <fill>
        <patternFill patternType="gray125">
          <bgColor theme="0" tint="-0.14996795556505021"/>
        </patternFill>
      </fill>
    </dxf>
    <dxf>
      <fill>
        <patternFill patternType="gray125">
          <bgColor theme="0" tint="-0.14996795556505021"/>
        </patternFill>
      </fill>
    </dxf>
    <dxf>
      <fill>
        <patternFill patternType="gray125">
          <bgColor theme="0" tint="-0.14996795556505021"/>
        </patternFill>
      </fill>
    </dxf>
    <dxf>
      <fill>
        <patternFill patternType="gray125">
          <bgColor theme="0" tint="-0.14996795556505021"/>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gray125">
          <bgColor theme="0" tint="-0.14996795556505021"/>
        </patternFill>
      </fill>
    </dxf>
    <dxf>
      <fill>
        <patternFill patternType="gray125">
          <bgColor theme="0" tint="-0.14996795556505021"/>
        </patternFill>
      </fill>
    </dxf>
    <dxf>
      <fill>
        <patternFill patternType="gray125">
          <bgColor theme="0" tint="-0.14996795556505021"/>
        </patternFill>
      </fill>
    </dxf>
    <dxf>
      <fill>
        <patternFill patternType="gray125">
          <bgColor theme="0" tint="-0.14996795556505021"/>
        </patternFill>
      </fill>
    </dxf>
    <dxf>
      <fill>
        <patternFill patternType="gray125">
          <bgColor theme="0" tint="-0.14996795556505021"/>
        </patternFill>
      </fill>
    </dxf>
  </dxfs>
  <tableStyles count="0" defaultTableStyle="TableStyleMedium2" defaultPivotStyle="PivotStyleLight16"/>
  <colors>
    <mruColors>
      <color rgb="FF5B9BD5"/>
      <color rgb="FFAEAAAA"/>
      <color rgb="FF203764"/>
      <color rgb="FFFFFF66"/>
      <color rgb="FFFFFFCC"/>
      <color rgb="FFFFFF99"/>
      <color rgb="FFFFF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C5B81A-E110-4A12-909D-004E492BCE0E}" name="Table1" displayName="Table1" ref="A1:A8" totalsRowShown="0">
  <autoFilter ref="A1:A8" xr:uid="{610F3598-3528-47ED-9FBE-E8FDFF0DE58A}"/>
  <tableColumns count="1">
    <tableColumn id="1" xr3:uid="{C34F218E-5735-4B6E-8163-D88D8738CBB6}"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L43"/>
  <sheetViews>
    <sheetView showGridLines="0" zoomScale="110" zoomScaleNormal="110" workbookViewId="0">
      <selection activeCell="C6" sqref="C6:E6"/>
    </sheetView>
  </sheetViews>
  <sheetFormatPr defaultRowHeight="14.5" x14ac:dyDescent="0.35"/>
  <cols>
    <col min="1" max="1" width="1.7265625" customWidth="1"/>
    <col min="2" max="2" width="24.26953125" customWidth="1"/>
    <col min="3" max="3" width="19.453125" customWidth="1"/>
    <col min="4" max="4" width="20" customWidth="1"/>
    <col min="5" max="5" width="17.1796875" customWidth="1"/>
    <col min="6" max="6" width="21.7265625" customWidth="1"/>
    <col min="7" max="7" width="22.7265625" customWidth="1"/>
    <col min="8" max="8" width="34" customWidth="1"/>
    <col min="9" max="9" width="24" customWidth="1"/>
    <col min="10" max="10" width="31" style="5" customWidth="1"/>
    <col min="11" max="11" width="11.1796875" style="5" customWidth="1"/>
    <col min="12" max="12" width="26.54296875" style="5" customWidth="1"/>
  </cols>
  <sheetData>
    <row r="1" spans="2:12" ht="10" customHeight="1" thickBot="1" x14ac:dyDescent="0.4"/>
    <row r="2" spans="2:12" ht="21" x14ac:dyDescent="0.5">
      <c r="B2" s="138" t="s">
        <v>50</v>
      </c>
      <c r="C2" s="139"/>
      <c r="D2" s="139"/>
      <c r="E2" s="139"/>
      <c r="F2" s="139"/>
      <c r="G2" s="139"/>
      <c r="H2" s="139"/>
      <c r="I2" s="140"/>
    </row>
    <row r="3" spans="2:12" ht="11.25" customHeight="1" thickBot="1" x14ac:dyDescent="0.4">
      <c r="B3" s="141" t="s">
        <v>178</v>
      </c>
      <c r="C3" s="142"/>
      <c r="D3" s="142"/>
      <c r="E3" s="142"/>
      <c r="F3" s="142"/>
      <c r="G3" s="142"/>
      <c r="H3" s="142"/>
      <c r="I3" s="143"/>
    </row>
    <row r="4" spans="2:12" s="2" customFormat="1" x14ac:dyDescent="0.35">
      <c r="B4" s="151" t="s">
        <v>156</v>
      </c>
      <c r="C4" s="152"/>
      <c r="D4" s="152"/>
      <c r="E4" s="152"/>
      <c r="F4" s="152"/>
      <c r="G4" s="152"/>
      <c r="H4" s="152"/>
      <c r="I4" s="153"/>
      <c r="J4" s="6"/>
      <c r="K4" s="6"/>
      <c r="L4" s="6"/>
    </row>
    <row r="5" spans="2:12" s="3" customFormat="1" ht="15" customHeight="1" x14ac:dyDescent="0.3">
      <c r="B5" s="83" t="s">
        <v>6</v>
      </c>
      <c r="C5" s="150" t="s">
        <v>79</v>
      </c>
      <c r="D5" s="150"/>
      <c r="E5" s="150"/>
      <c r="F5" s="103" t="s">
        <v>36</v>
      </c>
      <c r="G5" s="60" t="s">
        <v>10</v>
      </c>
      <c r="H5" s="104" t="s">
        <v>7</v>
      </c>
      <c r="I5" s="61" t="s">
        <v>11</v>
      </c>
      <c r="J5" s="7"/>
      <c r="K5" s="7"/>
      <c r="L5" s="7"/>
    </row>
    <row r="6" spans="2:12" s="3" customFormat="1" ht="15" customHeight="1" x14ac:dyDescent="0.3">
      <c r="B6" s="62" t="s">
        <v>78</v>
      </c>
      <c r="C6" s="165" t="s">
        <v>77</v>
      </c>
      <c r="D6" s="166"/>
      <c r="E6" s="167"/>
      <c r="F6" s="44"/>
      <c r="G6" s="45"/>
      <c r="H6" s="46"/>
      <c r="I6" s="63"/>
      <c r="J6" s="7"/>
      <c r="K6" s="7"/>
      <c r="L6" s="7"/>
    </row>
    <row r="7" spans="2:12" s="10" customFormat="1" ht="80" customHeight="1" thickBot="1" x14ac:dyDescent="0.4">
      <c r="B7" s="154" t="s">
        <v>157</v>
      </c>
      <c r="C7" s="155"/>
      <c r="D7" s="155"/>
      <c r="E7" s="155"/>
      <c r="F7" s="155"/>
      <c r="G7" s="155"/>
      <c r="H7" s="155"/>
      <c r="I7" s="156"/>
      <c r="J7" s="9"/>
      <c r="K7" s="9"/>
      <c r="L7" s="9"/>
    </row>
    <row r="8" spans="2:12" ht="15" thickBot="1" x14ac:dyDescent="0.4">
      <c r="B8" s="144" t="s">
        <v>141</v>
      </c>
      <c r="C8" s="145"/>
      <c r="D8" s="145"/>
      <c r="E8" s="145"/>
      <c r="F8" s="145"/>
      <c r="G8" s="145"/>
      <c r="H8" s="145"/>
      <c r="I8" s="146"/>
    </row>
    <row r="9" spans="2:12" s="86" customFormat="1" ht="15" customHeight="1" thickBot="1" x14ac:dyDescent="0.4">
      <c r="B9" s="168" t="str">
        <f>IF(C6="[Choose]","[Please choose an RMF effort from the provided dropdown list]",IF(C6="Full A&amp;A","Complete Assessment Methods tab",IF(C6="Baseline Change","Only include the assets that are being added or modified as a result of the proposed baseline change ",IF(C6="CAR","Complete Assessment Methods tab with applicable automated testing",IF(C6="HRR","Complete Assessment Methods tab with applicable automated testing",IF(C6="IATT","Complete Assessment Methods Tab",IF(C6="Full A&amp;A - Lab Testing","Provide a complete list of all hosts represented in the lab environment",IF(C6="IATT - Lab Testing","Provide a complete list of all hosts represented in the lab environment",IF(C6="CAR/HRR - Lab Testing","Provide a complete list of all hosts represented in the lab environment",IF(C6="Assess Only","Complete Assessment Methods tab","[RMF Effort not designated]"))))))))))</f>
        <v>[Please choose an RMF effort from the provided dropdown list]</v>
      </c>
      <c r="C9" s="169"/>
      <c r="D9" s="169"/>
      <c r="E9" s="169"/>
      <c r="F9" s="169"/>
      <c r="G9" s="169"/>
      <c r="H9" s="169"/>
      <c r="I9" s="170"/>
      <c r="J9" s="85"/>
      <c r="K9" s="85"/>
      <c r="L9" s="85"/>
    </row>
    <row r="10" spans="2:12" s="43" customFormat="1" ht="29.25" customHeight="1" x14ac:dyDescent="0.35">
      <c r="B10" s="41" t="s">
        <v>35</v>
      </c>
      <c r="C10" s="42" t="s">
        <v>0</v>
      </c>
      <c r="D10" s="42" t="s">
        <v>1</v>
      </c>
      <c r="E10" s="42" t="s">
        <v>67</v>
      </c>
      <c r="F10" s="157" t="s">
        <v>2</v>
      </c>
      <c r="G10" s="158"/>
      <c r="H10" s="158"/>
      <c r="I10" s="159"/>
    </row>
    <row r="11" spans="2:12" ht="16.5" customHeight="1" x14ac:dyDescent="0.35">
      <c r="B11" s="33" t="s">
        <v>12</v>
      </c>
      <c r="C11" s="11" t="s">
        <v>13</v>
      </c>
      <c r="D11" s="11" t="s">
        <v>14</v>
      </c>
      <c r="E11" s="11" t="s">
        <v>15</v>
      </c>
      <c r="F11" s="160" t="s">
        <v>16</v>
      </c>
      <c r="G11" s="161"/>
      <c r="H11" s="161"/>
      <c r="I11" s="162"/>
      <c r="J11"/>
      <c r="K11"/>
      <c r="L11"/>
    </row>
    <row r="12" spans="2:12" ht="26.5" x14ac:dyDescent="0.35">
      <c r="B12" s="33" t="s">
        <v>81</v>
      </c>
      <c r="C12" s="11" t="s">
        <v>80</v>
      </c>
      <c r="D12" s="11" t="s">
        <v>80</v>
      </c>
      <c r="E12" s="32" t="s">
        <v>92</v>
      </c>
      <c r="F12" s="163" t="s">
        <v>91</v>
      </c>
      <c r="G12" s="163"/>
      <c r="H12" s="163"/>
      <c r="I12" s="164"/>
      <c r="J12"/>
      <c r="K12"/>
      <c r="L12"/>
    </row>
    <row r="13" spans="2:12" x14ac:dyDescent="0.35">
      <c r="B13" s="33"/>
      <c r="C13" s="11"/>
      <c r="D13" s="11"/>
      <c r="E13" s="32"/>
      <c r="F13" s="163"/>
      <c r="G13" s="163"/>
      <c r="H13" s="163"/>
      <c r="I13" s="164"/>
      <c r="J13"/>
      <c r="K13"/>
      <c r="L13"/>
    </row>
    <row r="14" spans="2:12" x14ac:dyDescent="0.35">
      <c r="B14" s="33"/>
      <c r="C14" s="11"/>
      <c r="D14" s="11"/>
      <c r="E14" s="32"/>
      <c r="F14" s="163"/>
      <c r="G14" s="163"/>
      <c r="H14" s="163"/>
      <c r="I14" s="164"/>
      <c r="J14"/>
      <c r="K14"/>
      <c r="L14"/>
    </row>
    <row r="15" spans="2:12" x14ac:dyDescent="0.35">
      <c r="B15" s="33"/>
      <c r="C15" s="11"/>
      <c r="D15" s="11"/>
      <c r="E15" s="32"/>
      <c r="F15" s="163"/>
      <c r="G15" s="163"/>
      <c r="H15" s="163"/>
      <c r="I15" s="164"/>
      <c r="J15"/>
      <c r="K15"/>
      <c r="L15"/>
    </row>
    <row r="16" spans="2:12" x14ac:dyDescent="0.35">
      <c r="B16" s="33"/>
      <c r="C16" s="11"/>
      <c r="D16" s="11"/>
      <c r="E16" s="32"/>
      <c r="F16" s="163"/>
      <c r="G16" s="163"/>
      <c r="H16" s="163"/>
      <c r="I16" s="164"/>
      <c r="J16"/>
      <c r="K16"/>
      <c r="L16"/>
    </row>
    <row r="17" spans="2:12" x14ac:dyDescent="0.35">
      <c r="B17" s="33"/>
      <c r="C17" s="11"/>
      <c r="D17" s="11"/>
      <c r="E17" s="32"/>
      <c r="F17" s="163"/>
      <c r="G17" s="163"/>
      <c r="H17" s="163"/>
      <c r="I17" s="164"/>
      <c r="J17"/>
      <c r="K17"/>
      <c r="L17"/>
    </row>
    <row r="18" spans="2:12" x14ac:dyDescent="0.35">
      <c r="B18" s="33"/>
      <c r="C18" s="11"/>
      <c r="D18" s="11"/>
      <c r="E18" s="32"/>
      <c r="F18" s="163"/>
      <c r="G18" s="163"/>
      <c r="H18" s="163"/>
      <c r="I18" s="164"/>
      <c r="J18"/>
      <c r="K18"/>
      <c r="L18"/>
    </row>
    <row r="19" spans="2:12" ht="14.25" customHeight="1" thickBot="1" x14ac:dyDescent="0.4">
      <c r="B19" s="34" t="s">
        <v>5</v>
      </c>
      <c r="C19" s="35"/>
      <c r="D19" s="35"/>
      <c r="E19" s="35"/>
      <c r="F19" s="177"/>
      <c r="G19" s="178"/>
      <c r="H19" s="178"/>
      <c r="I19" s="179"/>
      <c r="J19"/>
      <c r="K19"/>
      <c r="L19"/>
    </row>
    <row r="20" spans="2:12" s="2" customFormat="1" ht="75" customHeight="1" thickBot="1" x14ac:dyDescent="0.4">
      <c r="B20" s="154" t="s">
        <v>158</v>
      </c>
      <c r="C20" s="155"/>
      <c r="D20" s="155"/>
      <c r="E20" s="155"/>
      <c r="F20" s="155"/>
      <c r="G20" s="155"/>
      <c r="H20" s="155"/>
      <c r="I20" s="156"/>
    </row>
    <row r="21" spans="2:12" s="1" customFormat="1" ht="15" thickBot="1" x14ac:dyDescent="0.4">
      <c r="B21" s="147" t="s">
        <v>142</v>
      </c>
      <c r="C21" s="148"/>
      <c r="D21" s="148"/>
      <c r="E21" s="148"/>
      <c r="F21" s="148"/>
      <c r="G21" s="148"/>
      <c r="H21" s="148"/>
      <c r="I21" s="149"/>
    </row>
    <row r="22" spans="2:12" ht="15" customHeight="1" thickBot="1" x14ac:dyDescent="0.4">
      <c r="B22" s="171" t="str">
        <f>IF(C6="[Choose]","[Please choose an RMF effort from the provided dropdown list]",IF(C6="Full A&amp;A","Complete Assessment Methods tab",IF(C6="Baseline Change","List the software that is being added, modified, or impacted as result of the proposed baseline change. Include applications on hosts with a change in operating system.",IF(C6="CAR","Complete Assessment Methods tab with applicable automated testing",IF(C6="HRR","Complete Assessment Methods tab with applicable automated testing",IF(C6="IATT","Complete Assessment Methods tab",IF(C6="Full A&amp;A - Lab Testing","Provide a complete list of all IA/IA-enabled software represented in the lab environment",IF(C6="IATT - Lab Testing","Provide a complete list of all IA/IA-enabled software represented in the lab environment",IF(C6="CAR/HRR - Lab Testing","Provide a complete list of all IA/IA-enabled software represented in the lab environment",IF(C6="Assess Only","Complete Assessment Methods tab","[RMF Effort not designated]"))))))))))</f>
        <v>[Please choose an RMF effort from the provided dropdown list]</v>
      </c>
      <c r="C22" s="172"/>
      <c r="D22" s="172"/>
      <c r="E22" s="172"/>
      <c r="F22" s="172"/>
      <c r="G22" s="172"/>
      <c r="H22" s="172"/>
      <c r="I22" s="173"/>
    </row>
    <row r="23" spans="2:12" s="40" customFormat="1" ht="30" customHeight="1" x14ac:dyDescent="0.35">
      <c r="B23" s="64" t="s">
        <v>0</v>
      </c>
      <c r="C23" s="39" t="s">
        <v>3</v>
      </c>
      <c r="D23" s="39" t="s">
        <v>4</v>
      </c>
      <c r="E23" s="174" t="s">
        <v>2</v>
      </c>
      <c r="F23" s="175"/>
      <c r="G23" s="175"/>
      <c r="H23" s="175"/>
      <c r="I23" s="176"/>
    </row>
    <row r="24" spans="2:12" ht="15" customHeight="1" x14ac:dyDescent="0.35">
      <c r="B24" s="65" t="s">
        <v>17</v>
      </c>
      <c r="C24" s="12" t="s">
        <v>18</v>
      </c>
      <c r="D24" s="12" t="s">
        <v>19</v>
      </c>
      <c r="E24" s="105" t="s">
        <v>20</v>
      </c>
      <c r="F24" s="106"/>
      <c r="G24" s="106"/>
      <c r="H24" s="106"/>
      <c r="I24" s="107"/>
      <c r="J24"/>
      <c r="K24"/>
      <c r="L24"/>
    </row>
    <row r="25" spans="2:12" x14ac:dyDescent="0.35">
      <c r="B25" s="65"/>
      <c r="C25" s="12"/>
      <c r="D25" s="12"/>
      <c r="E25" s="105"/>
      <c r="F25" s="106"/>
      <c r="G25" s="106"/>
      <c r="H25" s="106"/>
      <c r="I25" s="107"/>
      <c r="J25"/>
      <c r="K25"/>
      <c r="L25"/>
    </row>
    <row r="26" spans="2:12" x14ac:dyDescent="0.35">
      <c r="B26" s="65"/>
      <c r="C26" s="12"/>
      <c r="D26" s="12"/>
      <c r="E26" s="105"/>
      <c r="F26" s="106"/>
      <c r="G26" s="106"/>
      <c r="H26" s="106"/>
      <c r="I26" s="107"/>
      <c r="J26"/>
      <c r="K26"/>
      <c r="L26"/>
    </row>
    <row r="27" spans="2:12" ht="14.5" customHeight="1" x14ac:dyDescent="0.35">
      <c r="B27" s="65"/>
      <c r="C27" s="12"/>
      <c r="D27" s="12"/>
      <c r="E27" s="105"/>
      <c r="F27" s="106"/>
      <c r="G27" s="106"/>
      <c r="H27" s="106"/>
      <c r="I27" s="107"/>
      <c r="J27"/>
      <c r="K27"/>
      <c r="L27"/>
    </row>
    <row r="28" spans="2:12" x14ac:dyDescent="0.35">
      <c r="B28" s="65"/>
      <c r="C28" s="12"/>
      <c r="D28" s="12"/>
      <c r="E28" s="105"/>
      <c r="F28" s="106"/>
      <c r="G28" s="106"/>
      <c r="H28" s="106"/>
      <c r="I28" s="107"/>
      <c r="J28"/>
      <c r="K28"/>
      <c r="L28"/>
    </row>
    <row r="29" spans="2:12" ht="14.5" customHeight="1" x14ac:dyDescent="0.35">
      <c r="B29" s="65"/>
      <c r="C29" s="12"/>
      <c r="D29" s="12"/>
      <c r="E29" s="105"/>
      <c r="F29" s="106"/>
      <c r="G29" s="106"/>
      <c r="H29" s="106"/>
      <c r="I29" s="107"/>
      <c r="J29"/>
      <c r="K29"/>
      <c r="L29" s="1"/>
    </row>
    <row r="30" spans="2:12" ht="14.5" customHeight="1" x14ac:dyDescent="0.35">
      <c r="B30" s="65"/>
      <c r="C30" s="12"/>
      <c r="D30" s="12"/>
      <c r="E30" s="105"/>
      <c r="F30" s="106"/>
      <c r="G30" s="106"/>
      <c r="H30" s="106"/>
      <c r="I30" s="107"/>
      <c r="J30"/>
      <c r="K30"/>
      <c r="L30"/>
    </row>
    <row r="31" spans="2:12" ht="14.5" customHeight="1" x14ac:dyDescent="0.35">
      <c r="B31" s="65"/>
      <c r="C31" s="12"/>
      <c r="D31" s="12"/>
      <c r="E31" s="105"/>
      <c r="F31" s="106"/>
      <c r="G31" s="106"/>
      <c r="H31" s="106"/>
      <c r="I31" s="107"/>
      <c r="J31"/>
      <c r="K31"/>
      <c r="L31"/>
    </row>
    <row r="32" spans="2:12" ht="15" customHeight="1" thickBot="1" x14ac:dyDescent="0.4">
      <c r="B32" s="66" t="s">
        <v>5</v>
      </c>
      <c r="C32" s="47"/>
      <c r="D32" s="47"/>
      <c r="E32" s="180"/>
      <c r="F32" s="181"/>
      <c r="G32" s="181"/>
      <c r="H32" s="181"/>
      <c r="I32" s="182"/>
      <c r="J32"/>
      <c r="K32"/>
      <c r="L32"/>
    </row>
    <row r="33" spans="2:9" s="2" customFormat="1" ht="45" customHeight="1" thickBot="1" x14ac:dyDescent="0.4">
      <c r="B33" s="112" t="s">
        <v>159</v>
      </c>
      <c r="C33" s="113"/>
      <c r="D33" s="113"/>
      <c r="E33" s="113"/>
      <c r="F33" s="113"/>
      <c r="G33" s="113"/>
      <c r="H33" s="113"/>
      <c r="I33" s="114"/>
    </row>
    <row r="34" spans="2:9" ht="15" thickBot="1" x14ac:dyDescent="0.4">
      <c r="B34" s="115" t="s">
        <v>9</v>
      </c>
      <c r="C34" s="116"/>
      <c r="D34" s="116"/>
      <c r="E34" s="116"/>
      <c r="F34" s="117"/>
      <c r="G34" s="120" t="s">
        <v>21</v>
      </c>
      <c r="H34" s="121"/>
      <c r="I34" s="122"/>
    </row>
    <row r="35" spans="2:9" ht="26.65" customHeight="1" thickBot="1" x14ac:dyDescent="0.4">
      <c r="B35" s="131" t="s">
        <v>144</v>
      </c>
      <c r="C35" s="132"/>
      <c r="D35" s="133"/>
      <c r="E35" s="118" t="s">
        <v>143</v>
      </c>
      <c r="F35" s="119"/>
      <c r="G35" s="129" t="s">
        <v>8</v>
      </c>
      <c r="H35" s="130"/>
      <c r="I35" s="13" t="s">
        <v>32</v>
      </c>
    </row>
    <row r="36" spans="2:9" ht="14.65" customHeight="1" x14ac:dyDescent="0.35">
      <c r="B36" s="134"/>
      <c r="C36" s="135"/>
      <c r="D36" s="135"/>
      <c r="E36" s="123" t="s">
        <v>49</v>
      </c>
      <c r="F36" s="124"/>
      <c r="G36" s="108" t="s">
        <v>38</v>
      </c>
      <c r="H36" s="109"/>
      <c r="I36" s="14" t="s">
        <v>77</v>
      </c>
    </row>
    <row r="37" spans="2:9" x14ac:dyDescent="0.35">
      <c r="B37" s="134"/>
      <c r="C37" s="135"/>
      <c r="D37" s="135"/>
      <c r="E37" s="125"/>
      <c r="F37" s="126"/>
      <c r="G37" s="108"/>
      <c r="H37" s="109"/>
      <c r="I37" s="14"/>
    </row>
    <row r="38" spans="2:9" x14ac:dyDescent="0.35">
      <c r="B38" s="134"/>
      <c r="C38" s="135"/>
      <c r="D38" s="135"/>
      <c r="E38" s="125"/>
      <c r="F38" s="126"/>
      <c r="G38" s="108"/>
      <c r="H38" s="109"/>
      <c r="I38" s="14"/>
    </row>
    <row r="39" spans="2:9" x14ac:dyDescent="0.35">
      <c r="B39" s="134"/>
      <c r="C39" s="135"/>
      <c r="D39" s="135"/>
      <c r="E39" s="125"/>
      <c r="F39" s="126"/>
      <c r="G39" s="108"/>
      <c r="H39" s="109"/>
      <c r="I39" s="14"/>
    </row>
    <row r="40" spans="2:9" x14ac:dyDescent="0.35">
      <c r="B40" s="134"/>
      <c r="C40" s="135"/>
      <c r="D40" s="135"/>
      <c r="E40" s="125"/>
      <c r="F40" s="126"/>
      <c r="G40" s="108"/>
      <c r="H40" s="109"/>
      <c r="I40" s="14"/>
    </row>
    <row r="41" spans="2:9" ht="15" thickBot="1" x14ac:dyDescent="0.4">
      <c r="B41" s="136"/>
      <c r="C41" s="137"/>
      <c r="D41" s="137"/>
      <c r="E41" s="127"/>
      <c r="F41" s="128"/>
      <c r="G41" s="110"/>
      <c r="H41" s="111"/>
      <c r="I41" s="15"/>
    </row>
    <row r="42" spans="2:9" x14ac:dyDescent="0.35">
      <c r="F42" s="4"/>
    </row>
    <row r="43" spans="2:9" ht="11.25" customHeight="1" x14ac:dyDescent="0.35"/>
  </sheetData>
  <mergeCells count="44">
    <mergeCell ref="E32:I32"/>
    <mergeCell ref="E31:I31"/>
    <mergeCell ref="E30:I30"/>
    <mergeCell ref="E29:I29"/>
    <mergeCell ref="E28:I28"/>
    <mergeCell ref="B22:I22"/>
    <mergeCell ref="E23:I23"/>
    <mergeCell ref="E24:I24"/>
    <mergeCell ref="F13:I13"/>
    <mergeCell ref="F14:I14"/>
    <mergeCell ref="F15:I15"/>
    <mergeCell ref="F16:I16"/>
    <mergeCell ref="F17:I17"/>
    <mergeCell ref="F18:I18"/>
    <mergeCell ref="F19:I19"/>
    <mergeCell ref="B2:I2"/>
    <mergeCell ref="B3:I3"/>
    <mergeCell ref="B8:I8"/>
    <mergeCell ref="B21:I21"/>
    <mergeCell ref="C5:E5"/>
    <mergeCell ref="B4:I4"/>
    <mergeCell ref="B7:I7"/>
    <mergeCell ref="B20:I20"/>
    <mergeCell ref="F10:I10"/>
    <mergeCell ref="F11:I11"/>
    <mergeCell ref="F12:I12"/>
    <mergeCell ref="C6:E6"/>
    <mergeCell ref="B9:I9"/>
    <mergeCell ref="E25:I25"/>
    <mergeCell ref="G38:H38"/>
    <mergeCell ref="G39:H39"/>
    <mergeCell ref="G40:H40"/>
    <mergeCell ref="G41:H41"/>
    <mergeCell ref="B33:I33"/>
    <mergeCell ref="B34:F34"/>
    <mergeCell ref="E35:F35"/>
    <mergeCell ref="G34:I34"/>
    <mergeCell ref="E36:F41"/>
    <mergeCell ref="G35:H35"/>
    <mergeCell ref="G36:H36"/>
    <mergeCell ref="G37:H37"/>
    <mergeCell ref="B35:D41"/>
    <mergeCell ref="E26:I26"/>
    <mergeCell ref="E27:I27"/>
  </mergeCells>
  <conditionalFormatting sqref="B10:I19">
    <cfRule type="expression" dxfId="39" priority="26">
      <formula>$C$6="IATT"</formula>
    </cfRule>
    <cfRule type="expression" dxfId="38" priority="28">
      <formula>$C$6="HRR"</formula>
    </cfRule>
    <cfRule type="expression" dxfId="37" priority="32">
      <formula>$C$6="CAR"</formula>
    </cfRule>
    <cfRule type="expression" dxfId="36" priority="34">
      <formula>$C$6="Full A&amp;A"</formula>
    </cfRule>
    <cfRule type="expression" dxfId="35" priority="3">
      <formula>$C$6="Assess Only"</formula>
    </cfRule>
  </conditionalFormatting>
  <conditionalFormatting sqref="B9:I9">
    <cfRule type="expression" dxfId="34" priority="15">
      <formula>$C$6="Full A&amp;A - Lab Testing"</formula>
    </cfRule>
    <cfRule type="expression" dxfId="33" priority="16">
      <formula>$C$6="IATT - Lab Testing"</formula>
    </cfRule>
    <cfRule type="expression" dxfId="32" priority="27">
      <formula>$C$6="IATT"</formula>
    </cfRule>
    <cfRule type="expression" dxfId="31" priority="29">
      <formula>$C$6="HRR"</formula>
    </cfRule>
    <cfRule type="expression" dxfId="30" priority="30">
      <formula>$C$6="Baseline Change"</formula>
    </cfRule>
    <cfRule type="expression" dxfId="29" priority="31">
      <formula>$C$6="CAR"</formula>
    </cfRule>
    <cfRule type="expression" dxfId="28" priority="33">
      <formula>$C$6="Full A&amp;A"</formula>
    </cfRule>
    <cfRule type="expression" dxfId="27" priority="7">
      <formula>$C$6="CAR/HRR - Lab Testing"</formula>
    </cfRule>
    <cfRule type="expression" dxfId="26" priority="5">
      <formula>$C$6="Assess Only"</formula>
    </cfRule>
  </conditionalFormatting>
  <conditionalFormatting sqref="B22:I22">
    <cfRule type="expression" dxfId="25" priority="12">
      <formula>$C$6="IATT - Lab Testing"</formula>
    </cfRule>
    <cfRule type="expression" dxfId="24" priority="14">
      <formula>$C$6="Full A&amp;A - Lab Testing"</formula>
    </cfRule>
    <cfRule type="expression" dxfId="23" priority="18">
      <formula>$C$6="IATT"</formula>
    </cfRule>
    <cfRule type="expression" dxfId="22" priority="20">
      <formula>$C$6="HRR"</formula>
    </cfRule>
    <cfRule type="expression" dxfId="21" priority="22">
      <formula>$C$6="CAR"</formula>
    </cfRule>
    <cfRule type="expression" dxfId="20" priority="24">
      <formula>$C$6="Full A&amp;A"</formula>
    </cfRule>
    <cfRule type="expression" dxfId="19" priority="25">
      <formula>$C$6="Baseline Change"</formula>
    </cfRule>
    <cfRule type="expression" dxfId="18" priority="6">
      <formula>$C$6="CAR/HRR - Lab Testing"</formula>
    </cfRule>
    <cfRule type="expression" dxfId="17" priority="4">
      <formula>$C$6="Assess Only"</formula>
    </cfRule>
  </conditionalFormatting>
  <conditionalFormatting sqref="B23:I32">
    <cfRule type="expression" dxfId="16" priority="17">
      <formula>$C$6="IATT"</formula>
    </cfRule>
    <cfRule type="expression" dxfId="15" priority="19">
      <formula>$C$6="HRR"</formula>
    </cfRule>
    <cfRule type="expression" dxfId="14" priority="21">
      <formula>$C$6="CAR"</formula>
    </cfRule>
    <cfRule type="expression" dxfId="13" priority="23">
      <formula>$C$6="Full A&amp;A"</formula>
    </cfRule>
    <cfRule type="expression" dxfId="12" priority="2">
      <formula>$C$6="Assess Only"</formula>
    </cfRule>
  </conditionalFormatting>
  <conditionalFormatting sqref="B35:F41">
    <cfRule type="expression" dxfId="11" priority="8">
      <formula>$C$6="IATT"</formula>
    </cfRule>
    <cfRule type="expression" dxfId="10" priority="9">
      <formula>$C$6="HRR"</formula>
    </cfRule>
    <cfRule type="expression" dxfId="9" priority="10">
      <formula>$C$6="CAR"</formula>
    </cfRule>
    <cfRule type="expression" dxfId="8" priority="11">
      <formula>$C$6="Full A&amp;A"</formula>
    </cfRule>
    <cfRule type="expression" dxfId="7" priority="1">
      <formula>$C$6="Assess Only"</formula>
    </cfRule>
  </conditionalFormatting>
  <dataValidations count="3">
    <dataValidation type="list" allowBlank="1" showInputMessage="1" showErrorMessage="1" sqref="I37:I41" xr:uid="{00000000-0002-0000-0000-000000000000}">
      <formula1>"Lab, Operational Environment"</formula1>
    </dataValidation>
    <dataValidation type="list" allowBlank="1" showInputMessage="1" showErrorMessage="1" sqref="C6:E6" xr:uid="{D34D0BDB-FB84-4170-926E-143C7F734CC1}">
      <formula1>"[Choose],Full A&amp;A,Baseline Change,CAR,HRR,IATT,Full A&amp;A - Lab Testing, IATT - Lab Testing, CAR/HRR - Lab Testing, Assess Only"</formula1>
    </dataValidation>
    <dataValidation type="list" allowBlank="1" showInputMessage="1" showErrorMessage="1" sqref="I36" xr:uid="{3D868BF8-EC68-4B5D-B70A-791899A3712D}">
      <formula1>"[Choose],Lab, Operational Environment"</formula1>
    </dataValidation>
  </dataValidations>
  <pageMargins left="0.7" right="0.7" top="0.75" bottom="0.75" header="0.3" footer="0.3"/>
  <pageSetup scale="89" fitToHeight="2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G28"/>
  <sheetViews>
    <sheetView showGridLines="0" zoomScale="130" zoomScaleNormal="130" workbookViewId="0">
      <selection activeCell="B9" sqref="B9"/>
    </sheetView>
  </sheetViews>
  <sheetFormatPr defaultRowHeight="14.5" x14ac:dyDescent="0.35"/>
  <cols>
    <col min="1" max="1" width="1.7265625" customWidth="1"/>
    <col min="2" max="2" width="67.81640625" customWidth="1"/>
    <col min="3" max="3" width="24" customWidth="1"/>
    <col min="4" max="5" width="16.6328125" customWidth="1"/>
    <col min="6" max="6" width="8.7265625" customWidth="1"/>
  </cols>
  <sheetData>
    <row r="1" spans="1:7" ht="10" customHeight="1" x14ac:dyDescent="0.35"/>
    <row r="2" spans="1:7" ht="15" thickBot="1" x14ac:dyDescent="0.4">
      <c r="B2" s="183" t="s">
        <v>179</v>
      </c>
      <c r="C2" s="184"/>
      <c r="D2" s="184"/>
      <c r="E2" s="184"/>
    </row>
    <row r="3" spans="1:7" s="2" customFormat="1" ht="32.25" customHeight="1" thickBot="1" x14ac:dyDescent="0.4">
      <c r="B3" s="185" t="s">
        <v>160</v>
      </c>
      <c r="C3" s="186"/>
      <c r="D3" s="186"/>
      <c r="E3" s="187"/>
      <c r="F3" s="6"/>
      <c r="G3" s="6"/>
    </row>
    <row r="4" spans="1:7" s="2" customFormat="1" ht="30" customHeight="1" thickBot="1" x14ac:dyDescent="0.4">
      <c r="B4" s="188" t="s">
        <v>161</v>
      </c>
      <c r="C4" s="189"/>
      <c r="D4" s="189"/>
      <c r="E4" s="190"/>
      <c r="F4" s="6"/>
      <c r="G4" s="6"/>
    </row>
    <row r="5" spans="1:7" ht="30" customHeight="1" thickBot="1" x14ac:dyDescent="0.4">
      <c r="B5" s="191" t="str">
        <f>IF('Assessment Architecture'!C6="[Choose]","[Please choose an RMF effort from the provided dropdown list in the Assessment Architecture]",IF('Assessment Architecture'!C6="Full A&amp;A","Include all testable assets within the authorization boundary",IF('Assessment Architecture'!C6="Baseline Change","List all testing relevant to the assets that are being added and/or modified to the authorization. Include software and application STIGs on hosts that have a change in operating system.",IF('Assessment Architecture'!C6="CAR","Include all assets that can be scanned with automated testing (ACAS/SCAP)"&amp;CHAR(10)&amp;"(Only automated testing is required)",IF('Assessment Architecture'!C6="HRR","Include all assets that can be scanned with automated testing (ACAS/SCAP)"&amp;CHAR(10)&amp;"(Only automated testing is required)",IF('Assessment Architecture'!C6="IATT","Include all testable assets within the authorization boundary",IF('Assessment Architecture'!C6="Full A&amp;A - Lab Testing","Include all testable assets that are represented in the lab environment",IF('Assessment Architecture'!C6="IATT - Lab Testing","Include all testable assets that are represented in the lab environment",IF('Assessment Architecture'!C6="CAR/HRR - Lab Testing","Include all assets that can be scanned with automated testing (ACAS/SCAP)"&amp;CHAR(10)&amp;"(Only automated testing is required)",IF('Assessment Architecture'!C6="Assess Only","Include all testable assets within the authorization boundary"))))))))))</f>
        <v>[Please choose an RMF effort from the provided dropdown list in the Assessment Architecture]</v>
      </c>
      <c r="C5" s="192"/>
      <c r="D5" s="192"/>
      <c r="E5" s="193"/>
    </row>
    <row r="6" spans="1:7" ht="43" customHeight="1" x14ac:dyDescent="0.35">
      <c r="B6" s="36" t="s">
        <v>146</v>
      </c>
      <c r="C6" s="210" t="s">
        <v>39</v>
      </c>
      <c r="D6" s="211"/>
      <c r="E6" s="212"/>
    </row>
    <row r="7" spans="1:7" ht="26" x14ac:dyDescent="0.35">
      <c r="B7" s="37" t="s">
        <v>129</v>
      </c>
      <c r="C7" s="213" t="s">
        <v>68</v>
      </c>
      <c r="D7" s="214"/>
      <c r="E7" s="215"/>
    </row>
    <row r="8" spans="1:7" ht="55" customHeight="1" x14ac:dyDescent="0.35">
      <c r="B8" s="37" t="s">
        <v>22</v>
      </c>
      <c r="C8" s="213" t="s">
        <v>69</v>
      </c>
      <c r="D8" s="214"/>
      <c r="E8" s="215"/>
    </row>
    <row r="9" spans="1:7" ht="39" customHeight="1" x14ac:dyDescent="0.35">
      <c r="B9" s="38" t="s">
        <v>124</v>
      </c>
      <c r="C9" s="213" t="s">
        <v>73</v>
      </c>
      <c r="D9" s="214"/>
      <c r="E9" s="215"/>
    </row>
    <row r="10" spans="1:7" ht="26" x14ac:dyDescent="0.35">
      <c r="B10" s="37" t="s">
        <v>105</v>
      </c>
      <c r="C10" s="213" t="s">
        <v>68</v>
      </c>
      <c r="D10" s="214"/>
      <c r="E10" s="215"/>
    </row>
    <row r="11" spans="1:7" ht="26" customHeight="1" x14ac:dyDescent="0.35">
      <c r="B11" s="80" t="s">
        <v>126</v>
      </c>
      <c r="C11" s="197" t="s">
        <v>127</v>
      </c>
      <c r="D11" s="198"/>
      <c r="E11" s="199"/>
    </row>
    <row r="12" spans="1:7" s="2" customFormat="1" x14ac:dyDescent="0.35">
      <c r="A12"/>
      <c r="B12" s="100"/>
      <c r="C12" s="200"/>
      <c r="D12" s="201"/>
      <c r="E12" s="202"/>
    </row>
    <row r="13" spans="1:7" s="2" customFormat="1" ht="15" thickBot="1" x14ac:dyDescent="0.4">
      <c r="A13"/>
      <c r="B13" s="100" t="s">
        <v>5</v>
      </c>
      <c r="C13" s="101"/>
      <c r="D13" s="101"/>
      <c r="E13" s="102"/>
    </row>
    <row r="14" spans="1:7" s="2" customFormat="1" ht="27.75" customHeight="1" thickBot="1" x14ac:dyDescent="0.4">
      <c r="B14" s="188" t="s">
        <v>162</v>
      </c>
      <c r="C14" s="189"/>
      <c r="D14" s="189"/>
      <c r="E14" s="190"/>
      <c r="F14" s="6"/>
      <c r="G14" s="6"/>
    </row>
    <row r="15" spans="1:7" ht="15" thickBot="1" x14ac:dyDescent="0.4">
      <c r="B15" s="194" t="s">
        <v>23</v>
      </c>
      <c r="C15" s="195"/>
      <c r="D15" s="195"/>
      <c r="E15" s="196"/>
    </row>
    <row r="16" spans="1:7" ht="30" customHeight="1" thickBot="1" x14ac:dyDescent="0.4">
      <c r="B16" s="208" t="s">
        <v>24</v>
      </c>
      <c r="C16" s="209"/>
      <c r="D16" s="203" t="s">
        <v>82</v>
      </c>
      <c r="E16" s="204"/>
    </row>
    <row r="17" spans="2:5" ht="234.75" customHeight="1" thickBot="1" x14ac:dyDescent="0.4">
      <c r="B17" s="205" t="s">
        <v>154</v>
      </c>
      <c r="C17" s="206"/>
      <c r="D17" s="206"/>
      <c r="E17" s="207"/>
    </row>
    <row r="18" spans="2:5" x14ac:dyDescent="0.35">
      <c r="B18" s="48"/>
      <c r="C18" s="48"/>
      <c r="D18" s="48"/>
      <c r="E18" s="48"/>
    </row>
    <row r="19" spans="2:5" x14ac:dyDescent="0.35">
      <c r="B19" s="48"/>
      <c r="C19" s="48"/>
      <c r="D19" s="48"/>
      <c r="E19" s="48"/>
    </row>
    <row r="20" spans="2:5" x14ac:dyDescent="0.35">
      <c r="B20" s="48"/>
      <c r="C20" s="48"/>
      <c r="D20" s="48"/>
      <c r="E20" s="48"/>
    </row>
    <row r="21" spans="2:5" x14ac:dyDescent="0.35">
      <c r="B21" s="48"/>
      <c r="C21" s="48"/>
      <c r="D21" s="48"/>
      <c r="E21" s="48"/>
    </row>
    <row r="22" spans="2:5" x14ac:dyDescent="0.35">
      <c r="B22" s="48"/>
      <c r="C22" s="48"/>
      <c r="D22" s="48"/>
      <c r="E22" s="48"/>
    </row>
    <row r="23" spans="2:5" x14ac:dyDescent="0.35">
      <c r="B23" s="48"/>
      <c r="C23" s="48"/>
      <c r="D23" s="48"/>
      <c r="E23" s="48"/>
    </row>
    <row r="24" spans="2:5" x14ac:dyDescent="0.35">
      <c r="B24" s="48"/>
      <c r="C24" s="48"/>
      <c r="D24" s="48"/>
      <c r="E24" s="48"/>
    </row>
    <row r="25" spans="2:5" x14ac:dyDescent="0.35">
      <c r="B25" s="48"/>
      <c r="C25" s="48"/>
      <c r="D25" s="48"/>
      <c r="E25" s="48"/>
    </row>
    <row r="26" spans="2:5" x14ac:dyDescent="0.35">
      <c r="B26" s="48"/>
      <c r="C26" s="48"/>
      <c r="D26" s="48"/>
      <c r="E26" s="48"/>
    </row>
    <row r="27" spans="2:5" x14ac:dyDescent="0.35">
      <c r="B27" s="48"/>
      <c r="C27" s="48"/>
      <c r="D27" s="48"/>
      <c r="E27" s="48"/>
    </row>
    <row r="28" spans="2:5" x14ac:dyDescent="0.35">
      <c r="B28" s="48"/>
      <c r="C28" s="48"/>
      <c r="D28" s="48"/>
      <c r="E28" s="48"/>
    </row>
  </sheetData>
  <mergeCells count="16">
    <mergeCell ref="D16:E16"/>
    <mergeCell ref="B17:E17"/>
    <mergeCell ref="B16:C16"/>
    <mergeCell ref="C6:E6"/>
    <mergeCell ref="C7:E7"/>
    <mergeCell ref="C8:E8"/>
    <mergeCell ref="C9:E9"/>
    <mergeCell ref="C10:E10"/>
    <mergeCell ref="B2:E2"/>
    <mergeCell ref="B3:E3"/>
    <mergeCell ref="B4:E4"/>
    <mergeCell ref="B5:E5"/>
    <mergeCell ref="B15:E15"/>
    <mergeCell ref="B14:E14"/>
    <mergeCell ref="C11:E11"/>
    <mergeCell ref="C12:E12"/>
  </mergeCells>
  <conditionalFormatting sqref="D16">
    <cfRule type="containsText" dxfId="6" priority="6" operator="containsText" text="[Yes/No]">
      <formula>NOT(ISERROR(SEARCH("[Yes/No]",D16)))</formula>
    </cfRule>
  </conditionalFormatting>
  <conditionalFormatting sqref="B17">
    <cfRule type="expression" dxfId="5" priority="3">
      <formula>$D$16="No - Every testable component will be validated as part of this assessment"</formula>
    </cfRule>
    <cfRule type="expression" dxfId="4" priority="4">
      <formula>$D$16="[Yes/No]"</formula>
    </cfRule>
    <cfRule type="expression" dxfId="3" priority="5">
      <formula>"E16=""[Yes/No]"""</formula>
    </cfRule>
  </conditionalFormatting>
  <dataValidations count="1">
    <dataValidation type="list" allowBlank="1" showInputMessage="1" showErrorMessage="1" sqref="D16" xr:uid="{00000000-0002-0000-0100-000000000000}">
      <formula1>"[Yes/No],Yes - Sampling methodology described below, No - Every testable component will be validated as part of this assessment"</formula1>
    </dataValidation>
  </dataValidations>
  <pageMargins left="0.7" right="0.7" top="0.75" bottom="0.75" header="0.3" footer="0.3"/>
  <pageSetup scale="77" fitToHeight="21"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8347E57D-8EC2-4048-BEA9-7A49F5C238C6}">
          <x14:formula1>
            <xm:f>'Dropdown data'!$A$10:$A$13</xm:f>
          </x14:formula1>
          <xm:sqref>B7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K14"/>
  <sheetViews>
    <sheetView showGridLines="0" zoomScaleNormal="100" workbookViewId="0">
      <selection activeCell="D8" sqref="D8:F8"/>
    </sheetView>
  </sheetViews>
  <sheetFormatPr defaultRowHeight="14.5" x14ac:dyDescent="0.35"/>
  <cols>
    <col min="1" max="1" width="1.7265625" customWidth="1"/>
    <col min="5" max="5" width="10.7265625" customWidth="1"/>
    <col min="7" max="7" width="13.26953125" customWidth="1"/>
    <col min="9" max="9" width="10" customWidth="1"/>
    <col min="10" max="10" width="20.7265625" customWidth="1"/>
  </cols>
  <sheetData>
    <row r="1" spans="2:11" ht="10" customHeight="1" thickBot="1" x14ac:dyDescent="0.4"/>
    <row r="2" spans="2:11" s="2" customFormat="1" ht="15" customHeight="1" thickBot="1" x14ac:dyDescent="0.4">
      <c r="B2" s="228" t="str">
        <f>'Assessment Methods'!B2</f>
        <v>Navy RMF SAP v3, released AUGUST 2022</v>
      </c>
      <c r="C2" s="229"/>
      <c r="D2" s="229"/>
      <c r="E2" s="229"/>
      <c r="F2" s="229"/>
      <c r="G2" s="229"/>
      <c r="H2" s="229"/>
      <c r="I2" s="229"/>
      <c r="J2" s="229"/>
      <c r="K2" s="230"/>
    </row>
    <row r="3" spans="2:11" s="49" customFormat="1" ht="30" customHeight="1" thickBot="1" x14ac:dyDescent="0.4">
      <c r="B3" s="218" t="s">
        <v>163</v>
      </c>
      <c r="C3" s="219"/>
      <c r="D3" s="219"/>
      <c r="E3" s="219"/>
      <c r="F3" s="219"/>
      <c r="G3" s="219"/>
      <c r="H3" s="219"/>
      <c r="I3" s="219"/>
      <c r="J3" s="219"/>
      <c r="K3" s="220"/>
    </row>
    <row r="4" spans="2:11" ht="15" customHeight="1" thickBot="1" x14ac:dyDescent="0.4">
      <c r="B4" s="218" t="s">
        <v>155</v>
      </c>
      <c r="C4" s="219"/>
      <c r="D4" s="219"/>
      <c r="E4" s="219"/>
      <c r="F4" s="219"/>
      <c r="G4" s="219"/>
      <c r="H4" s="219"/>
      <c r="I4" s="219"/>
      <c r="J4" s="219"/>
      <c r="K4" s="220"/>
    </row>
    <row r="5" spans="2:11" ht="15" thickBot="1" x14ac:dyDescent="0.4">
      <c r="B5" s="235" t="s">
        <v>40</v>
      </c>
      <c r="C5" s="236"/>
      <c r="D5" s="236"/>
      <c r="E5" s="236"/>
      <c r="F5" s="236"/>
      <c r="G5" s="236"/>
      <c r="H5" s="236"/>
      <c r="I5" s="236"/>
      <c r="J5" s="236"/>
      <c r="K5" s="237"/>
    </row>
    <row r="6" spans="2:11" ht="15.75" customHeight="1" thickBot="1" x14ac:dyDescent="0.4">
      <c r="B6" s="238" t="s">
        <v>41</v>
      </c>
      <c r="C6" s="239"/>
      <c r="D6" s="240" t="s">
        <v>3</v>
      </c>
      <c r="E6" s="241"/>
      <c r="F6" s="239"/>
      <c r="G6" s="240" t="s">
        <v>42</v>
      </c>
      <c r="H6" s="239"/>
      <c r="I6" s="240" t="s">
        <v>43</v>
      </c>
      <c r="J6" s="241"/>
      <c r="K6" s="242"/>
    </row>
    <row r="7" spans="2:11" ht="15" customHeight="1" thickTop="1" x14ac:dyDescent="0.35">
      <c r="B7" s="243" t="s">
        <v>44</v>
      </c>
      <c r="C7" s="244"/>
      <c r="D7" s="221" t="s">
        <v>51</v>
      </c>
      <c r="E7" s="221"/>
      <c r="F7" s="221"/>
      <c r="G7" s="221" t="s">
        <v>52</v>
      </c>
      <c r="H7" s="221"/>
      <c r="I7" s="221" t="s">
        <v>53</v>
      </c>
      <c r="J7" s="221"/>
      <c r="K7" s="222"/>
    </row>
    <row r="8" spans="2:11" ht="15" customHeight="1" x14ac:dyDescent="0.35">
      <c r="B8" s="223" t="s">
        <v>45</v>
      </c>
      <c r="C8" s="224"/>
      <c r="D8" s="216"/>
      <c r="E8" s="216"/>
      <c r="F8" s="216"/>
      <c r="G8" s="216"/>
      <c r="H8" s="216"/>
      <c r="I8" s="216"/>
      <c r="J8" s="216"/>
      <c r="K8" s="217"/>
    </row>
    <row r="9" spans="2:11" ht="15" customHeight="1" x14ac:dyDescent="0.35">
      <c r="B9" s="223" t="s">
        <v>75</v>
      </c>
      <c r="C9" s="224"/>
      <c r="D9" s="216"/>
      <c r="E9" s="216"/>
      <c r="F9" s="216"/>
      <c r="G9" s="216"/>
      <c r="H9" s="216"/>
      <c r="I9" s="216"/>
      <c r="J9" s="216"/>
      <c r="K9" s="217"/>
    </row>
    <row r="10" spans="2:11" ht="15" customHeight="1" x14ac:dyDescent="0.35">
      <c r="B10" s="223" t="s">
        <v>46</v>
      </c>
      <c r="C10" s="224"/>
      <c r="D10" s="216"/>
      <c r="E10" s="216"/>
      <c r="F10" s="216"/>
      <c r="G10" s="216"/>
      <c r="H10" s="216"/>
      <c r="I10" s="216"/>
      <c r="J10" s="216"/>
      <c r="K10" s="217"/>
    </row>
    <row r="11" spans="2:11" ht="15" customHeight="1" x14ac:dyDescent="0.35">
      <c r="B11" s="223" t="s">
        <v>47</v>
      </c>
      <c r="C11" s="224"/>
      <c r="D11" s="216"/>
      <c r="E11" s="216"/>
      <c r="F11" s="216"/>
      <c r="G11" s="216"/>
      <c r="H11" s="216"/>
      <c r="I11" s="216"/>
      <c r="J11" s="216"/>
      <c r="K11" s="217"/>
    </row>
    <row r="12" spans="2:11" ht="15" customHeight="1" thickBot="1" x14ac:dyDescent="0.4">
      <c r="B12" s="233"/>
      <c r="C12" s="234"/>
      <c r="D12" s="231" t="s">
        <v>48</v>
      </c>
      <c r="E12" s="231"/>
      <c r="F12" s="231"/>
      <c r="G12" s="231"/>
      <c r="H12" s="231"/>
      <c r="I12" s="231"/>
      <c r="J12" s="231"/>
      <c r="K12" s="232"/>
    </row>
    <row r="13" spans="2:11" ht="64" customHeight="1" thickBot="1" x14ac:dyDescent="0.4">
      <c r="B13" s="188" t="s">
        <v>175</v>
      </c>
      <c r="C13" s="189"/>
      <c r="D13" s="189"/>
      <c r="E13" s="189"/>
      <c r="F13" s="189"/>
      <c r="G13" s="189"/>
      <c r="H13" s="189"/>
      <c r="I13" s="189"/>
      <c r="J13" s="189"/>
      <c r="K13" s="190"/>
    </row>
    <row r="14" spans="2:11" ht="125" customHeight="1" thickBot="1" x14ac:dyDescent="0.4">
      <c r="B14" s="225"/>
      <c r="C14" s="226"/>
      <c r="D14" s="226"/>
      <c r="E14" s="226"/>
      <c r="F14" s="226"/>
      <c r="G14" s="226"/>
      <c r="H14" s="226"/>
      <c r="I14" s="226"/>
      <c r="J14" s="226"/>
      <c r="K14" s="227"/>
    </row>
  </sheetData>
  <mergeCells count="34">
    <mergeCell ref="D7:F7"/>
    <mergeCell ref="G7:H7"/>
    <mergeCell ref="B14:K14"/>
    <mergeCell ref="B2:K2"/>
    <mergeCell ref="D12:F12"/>
    <mergeCell ref="D11:F11"/>
    <mergeCell ref="D10:F10"/>
    <mergeCell ref="D9:F9"/>
    <mergeCell ref="D8:F8"/>
    <mergeCell ref="G10:H10"/>
    <mergeCell ref="G11:H11"/>
    <mergeCell ref="G12:H12"/>
    <mergeCell ref="I8:K8"/>
    <mergeCell ref="I9:K9"/>
    <mergeCell ref="I10:K10"/>
    <mergeCell ref="I12:K12"/>
    <mergeCell ref="B10:C10"/>
    <mergeCell ref="B11:C11"/>
    <mergeCell ref="I11:K11"/>
    <mergeCell ref="B3:K3"/>
    <mergeCell ref="I7:K7"/>
    <mergeCell ref="B8:C8"/>
    <mergeCell ref="B13:K13"/>
    <mergeCell ref="B12:C12"/>
    <mergeCell ref="B4:K4"/>
    <mergeCell ref="B9:C9"/>
    <mergeCell ref="G8:H8"/>
    <mergeCell ref="G9:H9"/>
    <mergeCell ref="B5:K5"/>
    <mergeCell ref="B6:C6"/>
    <mergeCell ref="D6:F6"/>
    <mergeCell ref="G6:H6"/>
    <mergeCell ref="I6:K6"/>
    <mergeCell ref="B7:C7"/>
  </mergeCells>
  <pageMargins left="0.7" right="0.7" top="0.75" bottom="0.75" header="0.3" footer="0.3"/>
  <pageSetup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B1:D7"/>
  <sheetViews>
    <sheetView workbookViewId="0">
      <selection activeCell="B7" sqref="B7"/>
    </sheetView>
  </sheetViews>
  <sheetFormatPr defaultRowHeight="14.5" x14ac:dyDescent="0.35"/>
  <cols>
    <col min="1" max="1" width="1.7265625" customWidth="1"/>
    <col min="2" max="2" width="60.7265625" customWidth="1"/>
    <col min="4" max="4" width="60.7265625" customWidth="1"/>
  </cols>
  <sheetData>
    <row r="1" spans="2:4" ht="10" customHeight="1" thickBot="1" x14ac:dyDescent="0.4"/>
    <row r="2" spans="2:4" ht="15" customHeight="1" x14ac:dyDescent="0.35">
      <c r="B2" s="245" t="str">
        <f>'Assessment Methods'!B2</f>
        <v>Navy RMF SAP v3, released AUGUST 2022</v>
      </c>
      <c r="C2" s="246"/>
      <c r="D2" s="247"/>
    </row>
    <row r="3" spans="2:4" ht="15" customHeight="1" x14ac:dyDescent="0.35">
      <c r="B3" s="248" t="s">
        <v>164</v>
      </c>
      <c r="C3" s="249"/>
      <c r="D3" s="250"/>
    </row>
    <row r="4" spans="2:4" ht="30.75" customHeight="1" x14ac:dyDescent="0.35">
      <c r="B4" s="83" t="s">
        <v>27</v>
      </c>
      <c r="C4" s="51" t="s">
        <v>25</v>
      </c>
      <c r="D4" s="84" t="s">
        <v>34</v>
      </c>
    </row>
    <row r="5" spans="2:4" ht="42.4" customHeight="1" x14ac:dyDescent="0.35">
      <c r="B5" s="54" t="s">
        <v>165</v>
      </c>
      <c r="C5" s="52" t="s">
        <v>82</v>
      </c>
      <c r="D5" s="53" t="s">
        <v>139</v>
      </c>
    </row>
    <row r="6" spans="2:4" ht="52" x14ac:dyDescent="0.35">
      <c r="B6" s="54" t="s">
        <v>180</v>
      </c>
      <c r="C6" s="52" t="s">
        <v>82</v>
      </c>
      <c r="D6" s="53" t="s">
        <v>26</v>
      </c>
    </row>
    <row r="7" spans="2:4" ht="145.15" customHeight="1" thickBot="1" x14ac:dyDescent="0.4">
      <c r="B7" s="55" t="s">
        <v>28</v>
      </c>
      <c r="C7" s="56" t="s">
        <v>82</v>
      </c>
      <c r="D7" s="53" t="s">
        <v>140</v>
      </c>
    </row>
  </sheetData>
  <mergeCells count="2">
    <mergeCell ref="B2:D2"/>
    <mergeCell ref="B3:D3"/>
  </mergeCells>
  <conditionalFormatting sqref="D5">
    <cfRule type="expression" dxfId="2" priority="4">
      <formula>$C$5="No"</formula>
    </cfRule>
  </conditionalFormatting>
  <conditionalFormatting sqref="D6">
    <cfRule type="expression" dxfId="1" priority="2">
      <formula>$C$6="No"</formula>
    </cfRule>
  </conditionalFormatting>
  <conditionalFormatting sqref="D7">
    <cfRule type="expression" dxfId="0" priority="1">
      <formula>$C$7="No"</formula>
    </cfRule>
  </conditionalFormatting>
  <dataValidations count="1">
    <dataValidation type="list" allowBlank="1" showInputMessage="1" showErrorMessage="1" sqref="C5:C7" xr:uid="{00000000-0002-0000-0300-000000000000}">
      <formula1>"[Yes/No],Yes,No"</formula1>
    </dataValidation>
  </dataValidations>
  <pageMargins left="0.7" right="0.7" top="0.75" bottom="0.75" header="0.3" footer="0.3"/>
  <pageSetup fitToHeight="2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1:F34"/>
  <sheetViews>
    <sheetView zoomScaleNormal="100" workbookViewId="0">
      <selection activeCell="B22" sqref="B22:F22"/>
    </sheetView>
  </sheetViews>
  <sheetFormatPr defaultColWidth="9.1796875" defaultRowHeight="14.5" x14ac:dyDescent="0.35"/>
  <cols>
    <col min="1" max="1" width="1.7265625" style="1" customWidth="1"/>
    <col min="2" max="2" width="27.7265625" style="1" customWidth="1"/>
    <col min="3" max="3" width="15.7265625" style="1" customWidth="1"/>
    <col min="4" max="4" width="27.7265625" style="1" customWidth="1"/>
    <col min="5" max="5" width="35.7265625" style="1" customWidth="1"/>
    <col min="6" max="6" width="27.7265625" style="1" customWidth="1"/>
    <col min="7" max="16384" width="9.1796875" style="1"/>
  </cols>
  <sheetData>
    <row r="1" spans="2:6" ht="10" customHeight="1" thickBot="1" x14ac:dyDescent="0.4"/>
    <row r="2" spans="2:6" ht="15" customHeight="1" x14ac:dyDescent="0.35">
      <c r="B2" s="263" t="str">
        <f>'Assessment Methods'!B2</f>
        <v>Navy RMF SAP v3, released AUGUST 2022</v>
      </c>
      <c r="C2" s="264"/>
      <c r="D2" s="264"/>
      <c r="E2" s="264"/>
      <c r="F2" s="265"/>
    </row>
    <row r="3" spans="2:6" ht="15" customHeight="1" x14ac:dyDescent="0.35">
      <c r="B3" s="266" t="s">
        <v>166</v>
      </c>
      <c r="C3" s="267"/>
      <c r="D3" s="267"/>
      <c r="E3" s="267"/>
      <c r="F3" s="268"/>
    </row>
    <row r="4" spans="2:6" x14ac:dyDescent="0.35">
      <c r="B4" s="269" t="s">
        <v>167</v>
      </c>
      <c r="C4" s="270"/>
      <c r="D4" s="270"/>
      <c r="E4" s="270"/>
      <c r="F4" s="271"/>
    </row>
    <row r="5" spans="2:6" ht="15" customHeight="1" x14ac:dyDescent="0.35">
      <c r="B5" s="272" t="s">
        <v>71</v>
      </c>
      <c r="C5" s="273"/>
      <c r="D5" s="273"/>
      <c r="E5" s="273"/>
      <c r="F5" s="274"/>
    </row>
    <row r="6" spans="2:6" ht="26.5" x14ac:dyDescent="0.35">
      <c r="B6" s="27" t="s">
        <v>83</v>
      </c>
      <c r="C6" s="24" t="s">
        <v>56</v>
      </c>
      <c r="D6" s="25" t="s">
        <v>57</v>
      </c>
      <c r="E6" s="24" t="s">
        <v>59</v>
      </c>
      <c r="F6" s="28" t="s">
        <v>60</v>
      </c>
    </row>
    <row r="7" spans="2:6" ht="52" x14ac:dyDescent="0.35">
      <c r="B7" s="57" t="s">
        <v>86</v>
      </c>
      <c r="C7" s="58" t="s">
        <v>11</v>
      </c>
      <c r="D7" s="58" t="s">
        <v>62</v>
      </c>
      <c r="E7" s="59" t="s">
        <v>63</v>
      </c>
      <c r="F7" s="53" t="s">
        <v>64</v>
      </c>
    </row>
    <row r="8" spans="2:6" x14ac:dyDescent="0.35">
      <c r="B8" s="31"/>
      <c r="C8" s="26"/>
      <c r="D8" s="26"/>
      <c r="E8" s="26"/>
      <c r="F8" s="29"/>
    </row>
    <row r="9" spans="2:6" x14ac:dyDescent="0.35">
      <c r="B9" s="31"/>
      <c r="C9" s="26"/>
      <c r="D9" s="26"/>
      <c r="E9" s="26"/>
      <c r="F9" s="29"/>
    </row>
    <row r="10" spans="2:6" x14ac:dyDescent="0.35">
      <c r="B10" s="31"/>
      <c r="C10" s="26"/>
      <c r="D10" s="26"/>
      <c r="E10" s="26"/>
      <c r="F10" s="29"/>
    </row>
    <row r="11" spans="2:6" x14ac:dyDescent="0.35">
      <c r="B11" s="31"/>
      <c r="C11" s="26"/>
      <c r="D11" s="26"/>
      <c r="E11" s="26"/>
      <c r="F11" s="29"/>
    </row>
    <row r="12" spans="2:6" x14ac:dyDescent="0.35">
      <c r="B12" s="30" t="s">
        <v>61</v>
      </c>
      <c r="C12" s="26"/>
      <c r="D12" s="26"/>
      <c r="E12" s="26"/>
      <c r="F12" s="29"/>
    </row>
    <row r="13" spans="2:6" x14ac:dyDescent="0.35">
      <c r="B13" s="251" t="s">
        <v>168</v>
      </c>
      <c r="C13" s="252"/>
      <c r="D13" s="252"/>
      <c r="E13" s="252"/>
      <c r="F13" s="253"/>
    </row>
    <row r="14" spans="2:6" x14ac:dyDescent="0.35">
      <c r="B14" s="272" t="s">
        <v>72</v>
      </c>
      <c r="C14" s="275"/>
      <c r="D14" s="275"/>
      <c r="E14" s="275"/>
      <c r="F14" s="276"/>
    </row>
    <row r="15" spans="2:6" ht="39.5" x14ac:dyDescent="0.35">
      <c r="B15" s="27" t="s">
        <v>58</v>
      </c>
      <c r="C15" s="24" t="s">
        <v>56</v>
      </c>
      <c r="D15" s="25" t="s">
        <v>57</v>
      </c>
      <c r="E15" s="277" t="s">
        <v>59</v>
      </c>
      <c r="F15" s="278"/>
    </row>
    <row r="16" spans="2:6" ht="65" x14ac:dyDescent="0.35">
      <c r="B16" s="57" t="s">
        <v>65</v>
      </c>
      <c r="C16" s="58" t="s">
        <v>90</v>
      </c>
      <c r="D16" s="58" t="s">
        <v>66</v>
      </c>
      <c r="E16" s="279" t="s">
        <v>76</v>
      </c>
      <c r="F16" s="280"/>
    </row>
    <row r="17" spans="2:6" ht="182" x14ac:dyDescent="0.35">
      <c r="B17" s="67" t="s">
        <v>86</v>
      </c>
      <c r="C17" s="68" t="s">
        <v>87</v>
      </c>
      <c r="D17" s="68" t="s">
        <v>88</v>
      </c>
      <c r="E17" s="281" t="s">
        <v>89</v>
      </c>
      <c r="F17" s="282"/>
    </row>
    <row r="18" spans="2:6" x14ac:dyDescent="0.35">
      <c r="B18" s="31"/>
      <c r="C18" s="26"/>
      <c r="D18" s="26"/>
      <c r="E18" s="283"/>
      <c r="F18" s="284"/>
    </row>
    <row r="19" spans="2:6" x14ac:dyDescent="0.35">
      <c r="B19" s="31"/>
      <c r="C19" s="26"/>
      <c r="D19" s="26"/>
      <c r="E19" s="283"/>
      <c r="F19" s="284"/>
    </row>
    <row r="20" spans="2:6" x14ac:dyDescent="0.35">
      <c r="B20" s="31"/>
      <c r="C20" s="26"/>
      <c r="D20" s="26"/>
      <c r="E20" s="283"/>
      <c r="F20" s="284"/>
    </row>
    <row r="21" spans="2:6" ht="26.25" customHeight="1" x14ac:dyDescent="0.35">
      <c r="B21" s="30" t="s">
        <v>61</v>
      </c>
      <c r="C21" s="26"/>
      <c r="D21" s="26"/>
      <c r="E21" s="283"/>
      <c r="F21" s="284"/>
    </row>
    <row r="22" spans="2:6" s="50" customFormat="1" ht="30" customHeight="1" x14ac:dyDescent="0.35">
      <c r="B22" s="251" t="s">
        <v>169</v>
      </c>
      <c r="C22" s="252"/>
      <c r="D22" s="252"/>
      <c r="E22" s="252"/>
      <c r="F22" s="253"/>
    </row>
    <row r="23" spans="2:6" x14ac:dyDescent="0.35">
      <c r="B23" s="254" t="s">
        <v>170</v>
      </c>
      <c r="C23" s="255"/>
      <c r="D23" s="255"/>
      <c r="E23" s="255"/>
      <c r="F23" s="256"/>
    </row>
    <row r="24" spans="2:6" x14ac:dyDescent="0.35">
      <c r="B24" s="257"/>
      <c r="C24" s="258"/>
      <c r="D24" s="258"/>
      <c r="E24" s="258"/>
      <c r="F24" s="259"/>
    </row>
    <row r="25" spans="2:6" x14ac:dyDescent="0.35">
      <c r="B25" s="257"/>
      <c r="C25" s="258"/>
      <c r="D25" s="258"/>
      <c r="E25" s="258"/>
      <c r="F25" s="259"/>
    </row>
    <row r="26" spans="2:6" x14ac:dyDescent="0.35">
      <c r="B26" s="257"/>
      <c r="C26" s="258"/>
      <c r="D26" s="258"/>
      <c r="E26" s="258"/>
      <c r="F26" s="259"/>
    </row>
    <row r="27" spans="2:6" x14ac:dyDescent="0.35">
      <c r="B27" s="257"/>
      <c r="C27" s="258"/>
      <c r="D27" s="258"/>
      <c r="E27" s="258"/>
      <c r="F27" s="259"/>
    </row>
    <row r="28" spans="2:6" x14ac:dyDescent="0.35">
      <c r="B28" s="257"/>
      <c r="C28" s="258"/>
      <c r="D28" s="258"/>
      <c r="E28" s="258"/>
      <c r="F28" s="259"/>
    </row>
    <row r="29" spans="2:6" x14ac:dyDescent="0.35">
      <c r="B29" s="257"/>
      <c r="C29" s="258"/>
      <c r="D29" s="258"/>
      <c r="E29" s="258"/>
      <c r="F29" s="259"/>
    </row>
    <row r="30" spans="2:6" x14ac:dyDescent="0.35">
      <c r="B30" s="257"/>
      <c r="C30" s="258"/>
      <c r="D30" s="258"/>
      <c r="E30" s="258"/>
      <c r="F30" s="259"/>
    </row>
    <row r="31" spans="2:6" x14ac:dyDescent="0.35">
      <c r="B31" s="257"/>
      <c r="C31" s="258"/>
      <c r="D31" s="258"/>
      <c r="E31" s="258"/>
      <c r="F31" s="259"/>
    </row>
    <row r="32" spans="2:6" x14ac:dyDescent="0.35">
      <c r="B32" s="257"/>
      <c r="C32" s="258"/>
      <c r="D32" s="258"/>
      <c r="E32" s="258"/>
      <c r="F32" s="259"/>
    </row>
    <row r="33" spans="2:6" x14ac:dyDescent="0.35">
      <c r="B33" s="257"/>
      <c r="C33" s="258"/>
      <c r="D33" s="258"/>
      <c r="E33" s="258"/>
      <c r="F33" s="259"/>
    </row>
    <row r="34" spans="2:6" ht="15" thickBot="1" x14ac:dyDescent="0.4">
      <c r="B34" s="260"/>
      <c r="C34" s="261"/>
      <c r="D34" s="261"/>
      <c r="E34" s="261"/>
      <c r="F34" s="262"/>
    </row>
  </sheetData>
  <mergeCells count="15">
    <mergeCell ref="B22:F22"/>
    <mergeCell ref="B23:F34"/>
    <mergeCell ref="B2:F2"/>
    <mergeCell ref="B3:F3"/>
    <mergeCell ref="B4:F4"/>
    <mergeCell ref="B13:F13"/>
    <mergeCell ref="B5:F5"/>
    <mergeCell ref="B14:F14"/>
    <mergeCell ref="E15:F15"/>
    <mergeCell ref="E16:F16"/>
    <mergeCell ref="E17:F17"/>
    <mergeCell ref="E18:F18"/>
    <mergeCell ref="E19:F19"/>
    <mergeCell ref="E20:F20"/>
    <mergeCell ref="E21:F2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CFEDF-1ADB-4768-A301-F7DAA7AF3596}">
  <dimension ref="B1:D51"/>
  <sheetViews>
    <sheetView tabSelected="1" topLeftCell="B13" zoomScale="120" zoomScaleNormal="120" workbookViewId="0">
      <selection activeCell="B29" sqref="B29"/>
    </sheetView>
  </sheetViews>
  <sheetFormatPr defaultRowHeight="14.5" x14ac:dyDescent="0.35"/>
  <cols>
    <col min="1" max="1" width="2" customWidth="1"/>
    <col min="2" max="2" width="88.26953125" bestFit="1" customWidth="1"/>
    <col min="3" max="3" width="39" bestFit="1" customWidth="1"/>
    <col min="4" max="4" width="86.26953125" bestFit="1" customWidth="1"/>
  </cols>
  <sheetData>
    <row r="1" spans="2:4" ht="11.25" customHeight="1" thickBot="1" x14ac:dyDescent="0.4"/>
    <row r="2" spans="2:4" ht="15" customHeight="1" thickBot="1" x14ac:dyDescent="0.4">
      <c r="B2" s="291" t="s">
        <v>179</v>
      </c>
      <c r="C2" s="292"/>
      <c r="D2" s="293"/>
    </row>
    <row r="3" spans="2:4" ht="41" customHeight="1" x14ac:dyDescent="0.35">
      <c r="B3" s="294" t="s">
        <v>171</v>
      </c>
      <c r="C3" s="295"/>
      <c r="D3" s="296"/>
    </row>
    <row r="4" spans="2:4" x14ac:dyDescent="0.35">
      <c r="B4" s="300" t="s">
        <v>172</v>
      </c>
      <c r="C4" s="301"/>
      <c r="D4" s="302"/>
    </row>
    <row r="5" spans="2:4" ht="45" customHeight="1" x14ac:dyDescent="0.35">
      <c r="B5" s="297" t="s">
        <v>176</v>
      </c>
      <c r="C5" s="298"/>
      <c r="D5" s="299"/>
    </row>
    <row r="6" spans="2:4" ht="17.25" customHeight="1" thickBot="1" x14ac:dyDescent="0.4">
      <c r="B6" s="74" t="s">
        <v>147</v>
      </c>
      <c r="C6" s="75" t="s">
        <v>177</v>
      </c>
      <c r="D6" s="76" t="s">
        <v>148</v>
      </c>
    </row>
    <row r="7" spans="2:4" ht="17.25" customHeight="1" x14ac:dyDescent="0.35">
      <c r="B7" s="90" t="s">
        <v>149</v>
      </c>
      <c r="C7" s="97">
        <v>44576</v>
      </c>
      <c r="D7" s="91" t="s">
        <v>151</v>
      </c>
    </row>
    <row r="8" spans="2:4" ht="17.25" customHeight="1" x14ac:dyDescent="0.35">
      <c r="B8" s="92" t="s">
        <v>150</v>
      </c>
      <c r="C8" s="98">
        <v>44578</v>
      </c>
      <c r="D8" s="94" t="s">
        <v>152</v>
      </c>
    </row>
    <row r="9" spans="2:4" ht="17.25" customHeight="1" x14ac:dyDescent="0.35">
      <c r="B9" s="92"/>
      <c r="C9" s="93"/>
      <c r="D9" s="94"/>
    </row>
    <row r="10" spans="2:4" ht="17.25" customHeight="1" x14ac:dyDescent="0.35">
      <c r="B10" s="92"/>
      <c r="C10" s="93"/>
      <c r="D10" s="94"/>
    </row>
    <row r="11" spans="2:4" ht="17.25" customHeight="1" x14ac:dyDescent="0.35">
      <c r="B11" s="92"/>
      <c r="C11" s="93"/>
      <c r="D11" s="94"/>
    </row>
    <row r="12" spans="2:4" ht="17.25" customHeight="1" x14ac:dyDescent="0.35">
      <c r="B12" s="92"/>
      <c r="C12" s="93"/>
      <c r="D12" s="94"/>
    </row>
    <row r="13" spans="2:4" ht="17.25" customHeight="1" x14ac:dyDescent="0.35">
      <c r="B13" s="92"/>
      <c r="C13" s="93"/>
      <c r="D13" s="94"/>
    </row>
    <row r="14" spans="2:4" ht="17.25" customHeight="1" x14ac:dyDescent="0.35">
      <c r="B14" s="92"/>
      <c r="C14" s="93"/>
      <c r="D14" s="94"/>
    </row>
    <row r="15" spans="2:4" ht="17.25" customHeight="1" x14ac:dyDescent="0.35">
      <c r="B15" s="99" t="s">
        <v>153</v>
      </c>
      <c r="C15" s="95"/>
      <c r="D15" s="96"/>
    </row>
    <row r="16" spans="2:4" ht="30" customHeight="1" x14ac:dyDescent="0.35">
      <c r="B16" s="297" t="s">
        <v>173</v>
      </c>
      <c r="C16" s="298"/>
      <c r="D16" s="299"/>
    </row>
    <row r="17" spans="2:4" ht="17.25" customHeight="1" thickBot="1" x14ac:dyDescent="0.4">
      <c r="B17" s="74" t="s">
        <v>95</v>
      </c>
      <c r="C17" s="75" t="s">
        <v>101</v>
      </c>
      <c r="D17" s="76" t="s">
        <v>59</v>
      </c>
    </row>
    <row r="18" spans="2:4" ht="15" customHeight="1" x14ac:dyDescent="0.35">
      <c r="B18" s="87" t="s">
        <v>99</v>
      </c>
      <c r="C18" s="88"/>
      <c r="D18" s="89"/>
    </row>
    <row r="19" spans="2:4" ht="15" customHeight="1" x14ac:dyDescent="0.35">
      <c r="B19" s="71" t="s">
        <v>94</v>
      </c>
      <c r="C19" s="72"/>
      <c r="D19" s="73"/>
    </row>
    <row r="20" spans="2:4" ht="15" customHeight="1" x14ac:dyDescent="0.35">
      <c r="B20" s="77" t="s">
        <v>104</v>
      </c>
      <c r="C20" s="72"/>
      <c r="D20" s="73"/>
    </row>
    <row r="21" spans="2:4" ht="15" customHeight="1" x14ac:dyDescent="0.35">
      <c r="B21" s="71" t="s">
        <v>102</v>
      </c>
      <c r="C21" s="72"/>
      <c r="D21" s="73" t="s">
        <v>106</v>
      </c>
    </row>
    <row r="22" spans="2:4" ht="15" customHeight="1" x14ac:dyDescent="0.35">
      <c r="B22" s="71" t="s">
        <v>97</v>
      </c>
      <c r="C22" s="72"/>
      <c r="D22" s="73" t="s">
        <v>107</v>
      </c>
    </row>
    <row r="23" spans="2:4" ht="15" customHeight="1" x14ac:dyDescent="0.35">
      <c r="B23" s="71" t="s">
        <v>113</v>
      </c>
      <c r="C23" s="72"/>
      <c r="D23" s="73" t="s">
        <v>108</v>
      </c>
    </row>
    <row r="24" spans="2:4" ht="15" customHeight="1" x14ac:dyDescent="0.35">
      <c r="B24" s="77" t="s">
        <v>103</v>
      </c>
      <c r="C24" s="72"/>
      <c r="D24" s="73"/>
    </row>
    <row r="25" spans="2:4" ht="15" customHeight="1" x14ac:dyDescent="0.35">
      <c r="B25" s="71" t="s">
        <v>109</v>
      </c>
      <c r="C25" s="72"/>
      <c r="D25" s="73" t="s">
        <v>135</v>
      </c>
    </row>
    <row r="26" spans="2:4" ht="15" customHeight="1" x14ac:dyDescent="0.35">
      <c r="B26" s="71" t="s">
        <v>93</v>
      </c>
      <c r="C26" s="72"/>
      <c r="D26" s="73" t="s">
        <v>110</v>
      </c>
    </row>
    <row r="27" spans="2:4" ht="15" customHeight="1" x14ac:dyDescent="0.35">
      <c r="B27" s="71" t="s">
        <v>98</v>
      </c>
      <c r="C27" s="72"/>
      <c r="D27" s="73" t="s">
        <v>111</v>
      </c>
    </row>
    <row r="28" spans="2:4" ht="15" customHeight="1" x14ac:dyDescent="0.35">
      <c r="B28" s="71" t="s">
        <v>100</v>
      </c>
      <c r="C28" s="72"/>
      <c r="D28" s="73" t="s">
        <v>111</v>
      </c>
    </row>
    <row r="29" spans="2:4" ht="15" customHeight="1" x14ac:dyDescent="0.35">
      <c r="B29" s="71" t="s">
        <v>114</v>
      </c>
      <c r="C29" s="72"/>
      <c r="D29" s="73" t="s">
        <v>111</v>
      </c>
    </row>
    <row r="30" spans="2:4" ht="15" customHeight="1" x14ac:dyDescent="0.35">
      <c r="B30" s="71" t="s">
        <v>96</v>
      </c>
      <c r="C30" s="72"/>
      <c r="D30" s="73" t="s">
        <v>111</v>
      </c>
    </row>
    <row r="31" spans="2:4" ht="15" customHeight="1" x14ac:dyDescent="0.35">
      <c r="B31" s="71" t="s">
        <v>112</v>
      </c>
      <c r="C31" s="72"/>
      <c r="D31" s="73" t="s">
        <v>111</v>
      </c>
    </row>
    <row r="32" spans="2:4" ht="30" customHeight="1" x14ac:dyDescent="0.35">
      <c r="B32" s="79" t="s">
        <v>116</v>
      </c>
      <c r="C32" s="72"/>
      <c r="D32" s="78" t="s">
        <v>115</v>
      </c>
    </row>
    <row r="33" spans="2:4" ht="45" customHeight="1" thickBot="1" x14ac:dyDescent="0.4">
      <c r="B33" s="303" t="s">
        <v>174</v>
      </c>
      <c r="C33" s="304"/>
      <c r="D33" s="305"/>
    </row>
    <row r="34" spans="2:4" x14ac:dyDescent="0.35">
      <c r="B34" s="285"/>
      <c r="C34" s="286"/>
      <c r="D34" s="287"/>
    </row>
    <row r="35" spans="2:4" x14ac:dyDescent="0.35">
      <c r="B35" s="285"/>
      <c r="C35" s="286"/>
      <c r="D35" s="287"/>
    </row>
    <row r="36" spans="2:4" x14ac:dyDescent="0.35">
      <c r="B36" s="285"/>
      <c r="C36" s="286"/>
      <c r="D36" s="287"/>
    </row>
    <row r="37" spans="2:4" x14ac:dyDescent="0.35">
      <c r="B37" s="285"/>
      <c r="C37" s="286"/>
      <c r="D37" s="287"/>
    </row>
    <row r="38" spans="2:4" x14ac:dyDescent="0.35">
      <c r="B38" s="285"/>
      <c r="C38" s="286"/>
      <c r="D38" s="287"/>
    </row>
    <row r="39" spans="2:4" x14ac:dyDescent="0.35">
      <c r="B39" s="285"/>
      <c r="C39" s="286"/>
      <c r="D39" s="287"/>
    </row>
    <row r="40" spans="2:4" x14ac:dyDescent="0.35">
      <c r="B40" s="285"/>
      <c r="C40" s="286"/>
      <c r="D40" s="287"/>
    </row>
    <row r="41" spans="2:4" ht="15" thickBot="1" x14ac:dyDescent="0.4">
      <c r="B41" s="288"/>
      <c r="C41" s="289"/>
      <c r="D41" s="290"/>
    </row>
    <row r="42" spans="2:4" x14ac:dyDescent="0.35">
      <c r="B42" s="3"/>
      <c r="C42" s="43"/>
      <c r="D42" s="3"/>
    </row>
    <row r="43" spans="2:4" x14ac:dyDescent="0.35">
      <c r="B43" s="3"/>
      <c r="C43" s="43"/>
      <c r="D43" s="3"/>
    </row>
    <row r="44" spans="2:4" x14ac:dyDescent="0.35">
      <c r="B44" s="3"/>
      <c r="C44" s="43"/>
      <c r="D44" s="3"/>
    </row>
    <row r="45" spans="2:4" x14ac:dyDescent="0.35">
      <c r="B45" s="3"/>
      <c r="C45" s="43"/>
      <c r="D45" s="3"/>
    </row>
    <row r="46" spans="2:4" x14ac:dyDescent="0.35">
      <c r="B46" s="3"/>
      <c r="C46" s="43"/>
      <c r="D46" s="3"/>
    </row>
    <row r="47" spans="2:4" x14ac:dyDescent="0.35">
      <c r="B47" s="3"/>
      <c r="C47" s="3"/>
      <c r="D47" s="3"/>
    </row>
    <row r="48" spans="2:4" x14ac:dyDescent="0.35">
      <c r="B48" s="3"/>
      <c r="C48" s="3"/>
      <c r="D48" s="3"/>
    </row>
    <row r="49" spans="2:4" x14ac:dyDescent="0.35">
      <c r="B49" s="3"/>
      <c r="C49" s="3"/>
      <c r="D49" s="3"/>
    </row>
    <row r="50" spans="2:4" x14ac:dyDescent="0.35">
      <c r="B50" s="3"/>
      <c r="C50" s="3"/>
      <c r="D50" s="3"/>
    </row>
    <row r="51" spans="2:4" x14ac:dyDescent="0.35">
      <c r="B51" s="3"/>
      <c r="C51" s="3"/>
      <c r="D51" s="3"/>
    </row>
  </sheetData>
  <mergeCells count="7">
    <mergeCell ref="B34:D41"/>
    <mergeCell ref="B2:D2"/>
    <mergeCell ref="B3:D3"/>
    <mergeCell ref="B5:D5"/>
    <mergeCell ref="B4:D4"/>
    <mergeCell ref="B16:D16"/>
    <mergeCell ref="B33:D33"/>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B79078F-BFFA-4A96-BF96-4796B1ECBF69}">
          <x14:formula1>
            <xm:f>'Dropdown data'!$A$15:$A$19</xm:f>
          </x14:formula1>
          <xm:sqref>C18</xm:sqref>
        </x14:dataValidation>
        <x14:dataValidation type="list" allowBlank="1" showInputMessage="1" showErrorMessage="1" xr:uid="{F9CB5C77-ED89-4CBC-A234-28D1DEBFD1F0}">
          <x14:formula1>
            <xm:f>'Dropdown data'!$A$21:$A$22</xm:f>
          </x14:formula1>
          <xm:sqref>C21:C32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B1:B63"/>
  <sheetViews>
    <sheetView showGridLines="0" zoomScaleNormal="100" workbookViewId="0">
      <selection activeCell="B8" sqref="B8"/>
    </sheetView>
  </sheetViews>
  <sheetFormatPr defaultRowHeight="14.5" x14ac:dyDescent="0.35"/>
  <cols>
    <col min="1" max="1" width="1.81640625" customWidth="1"/>
    <col min="2" max="2" width="108.26953125" style="16" customWidth="1"/>
  </cols>
  <sheetData>
    <row r="1" spans="2:2" ht="7.9" customHeight="1" thickBot="1" x14ac:dyDescent="0.4"/>
    <row r="2" spans="2:2" s="17" customFormat="1" ht="21.75" customHeight="1" thickBot="1" x14ac:dyDescent="0.4">
      <c r="B2" s="18" t="s">
        <v>30</v>
      </c>
    </row>
    <row r="3" spans="2:2" ht="15.5" thickTop="1" thickBot="1" x14ac:dyDescent="0.4">
      <c r="B3" s="19" t="s">
        <v>29</v>
      </c>
    </row>
    <row r="4" spans="2:2" ht="157" thickTop="1" thickBot="1" x14ac:dyDescent="0.4">
      <c r="B4" s="69" t="s">
        <v>85</v>
      </c>
    </row>
    <row r="5" spans="2:2" ht="15.5" thickTop="1" thickBot="1" x14ac:dyDescent="0.4">
      <c r="B5" s="19" t="s">
        <v>37</v>
      </c>
    </row>
    <row r="6" spans="2:2" ht="27" thickTop="1" thickBot="1" x14ac:dyDescent="0.4">
      <c r="B6" s="20" t="s">
        <v>145</v>
      </c>
    </row>
    <row r="7" spans="2:2" ht="15.5" thickTop="1" thickBot="1" x14ac:dyDescent="0.4">
      <c r="B7" s="21" t="s">
        <v>54</v>
      </c>
    </row>
    <row r="8" spans="2:2" ht="68.5" customHeight="1" thickTop="1" thickBot="1" x14ac:dyDescent="0.4">
      <c r="B8" s="22" t="s">
        <v>70</v>
      </c>
    </row>
    <row r="9" spans="2:2" ht="15.5" thickTop="1" thickBot="1" x14ac:dyDescent="0.4">
      <c r="B9" s="23" t="s">
        <v>55</v>
      </c>
    </row>
    <row r="10" spans="2:2" ht="66" thickTop="1" thickBot="1" x14ac:dyDescent="0.4">
      <c r="B10" s="70" t="s">
        <v>84</v>
      </c>
    </row>
    <row r="11" spans="2:2" ht="15" hidden="1" customHeight="1" x14ac:dyDescent="0.35">
      <c r="B11" s="8" t="s">
        <v>33</v>
      </c>
    </row>
    <row r="23" spans="2:2" x14ac:dyDescent="0.35">
      <c r="B23" s="306" t="s">
        <v>31</v>
      </c>
    </row>
    <row r="24" spans="2:2" x14ac:dyDescent="0.35">
      <c r="B24" s="307"/>
    </row>
    <row r="25" spans="2:2" x14ac:dyDescent="0.35">
      <c r="B25" s="307"/>
    </row>
    <row r="26" spans="2:2" x14ac:dyDescent="0.35">
      <c r="B26" s="307"/>
    </row>
    <row r="27" spans="2:2" x14ac:dyDescent="0.35">
      <c r="B27" s="307"/>
    </row>
    <row r="28" spans="2:2" x14ac:dyDescent="0.35">
      <c r="B28" s="307"/>
    </row>
    <row r="29" spans="2:2" x14ac:dyDescent="0.35">
      <c r="B29" s="307"/>
    </row>
    <row r="30" spans="2:2" x14ac:dyDescent="0.35">
      <c r="B30" s="307"/>
    </row>
    <row r="31" spans="2:2" x14ac:dyDescent="0.35">
      <c r="B31" s="307"/>
    </row>
    <row r="32" spans="2:2" x14ac:dyDescent="0.35">
      <c r="B32" s="307"/>
    </row>
    <row r="33" spans="2:2" x14ac:dyDescent="0.35">
      <c r="B33" s="307"/>
    </row>
    <row r="34" spans="2:2" x14ac:dyDescent="0.35">
      <c r="B34" s="307"/>
    </row>
    <row r="35" spans="2:2" x14ac:dyDescent="0.35">
      <c r="B35" s="307"/>
    </row>
    <row r="36" spans="2:2" x14ac:dyDescent="0.35">
      <c r="B36" s="307"/>
    </row>
    <row r="37" spans="2:2" x14ac:dyDescent="0.35">
      <c r="B37" s="307"/>
    </row>
    <row r="38" spans="2:2" x14ac:dyDescent="0.35">
      <c r="B38" s="307"/>
    </row>
    <row r="39" spans="2:2" x14ac:dyDescent="0.35">
      <c r="B39" s="307"/>
    </row>
    <row r="40" spans="2:2" x14ac:dyDescent="0.35">
      <c r="B40" s="307"/>
    </row>
    <row r="41" spans="2:2" x14ac:dyDescent="0.35">
      <c r="B41" s="307"/>
    </row>
    <row r="42" spans="2:2" x14ac:dyDescent="0.35">
      <c r="B42" s="307"/>
    </row>
    <row r="43" spans="2:2" x14ac:dyDescent="0.35">
      <c r="B43" s="307"/>
    </row>
    <row r="44" spans="2:2" x14ac:dyDescent="0.35">
      <c r="B44" s="307"/>
    </row>
    <row r="45" spans="2:2" x14ac:dyDescent="0.35">
      <c r="B45" s="307"/>
    </row>
    <row r="46" spans="2:2" x14ac:dyDescent="0.35">
      <c r="B46" s="307"/>
    </row>
    <row r="47" spans="2:2" x14ac:dyDescent="0.35">
      <c r="B47" s="307"/>
    </row>
    <row r="48" spans="2:2" x14ac:dyDescent="0.35">
      <c r="B48" s="307"/>
    </row>
    <row r="49" spans="2:2" x14ac:dyDescent="0.35">
      <c r="B49" s="307"/>
    </row>
    <row r="50" spans="2:2" x14ac:dyDescent="0.35">
      <c r="B50" s="307"/>
    </row>
    <row r="51" spans="2:2" x14ac:dyDescent="0.35">
      <c r="B51" s="307"/>
    </row>
    <row r="52" spans="2:2" x14ac:dyDescent="0.35">
      <c r="B52" s="307"/>
    </row>
    <row r="53" spans="2:2" x14ac:dyDescent="0.35">
      <c r="B53" s="307"/>
    </row>
    <row r="54" spans="2:2" x14ac:dyDescent="0.35">
      <c r="B54" s="307"/>
    </row>
    <row r="55" spans="2:2" x14ac:dyDescent="0.35">
      <c r="B55" s="307"/>
    </row>
    <row r="56" spans="2:2" x14ac:dyDescent="0.35">
      <c r="B56" s="307"/>
    </row>
    <row r="57" spans="2:2" x14ac:dyDescent="0.35">
      <c r="B57" s="307"/>
    </row>
    <row r="58" spans="2:2" x14ac:dyDescent="0.35">
      <c r="B58" s="307"/>
    </row>
    <row r="59" spans="2:2" x14ac:dyDescent="0.35">
      <c r="B59" s="307"/>
    </row>
    <row r="60" spans="2:2" x14ac:dyDescent="0.35">
      <c r="B60" s="307"/>
    </row>
    <row r="61" spans="2:2" x14ac:dyDescent="0.35">
      <c r="B61" s="307"/>
    </row>
    <row r="62" spans="2:2" x14ac:dyDescent="0.35">
      <c r="B62" s="307"/>
    </row>
    <row r="63" spans="2:2" x14ac:dyDescent="0.35">
      <c r="B63" s="307"/>
    </row>
  </sheetData>
  <mergeCells count="1">
    <mergeCell ref="B23:B63"/>
  </mergeCells>
  <pageMargins left="0.7" right="0.7" top="0.75" bottom="0.75" header="0.3" footer="0.3"/>
  <pageSetup scale="83" fitToHeight="2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5220C-8AA8-4DDB-A436-93891F34B210}">
  <dimension ref="A1:A22"/>
  <sheetViews>
    <sheetView workbookViewId="0">
      <selection activeCell="A10" sqref="A10"/>
    </sheetView>
  </sheetViews>
  <sheetFormatPr defaultRowHeight="14.5" x14ac:dyDescent="0.35"/>
  <cols>
    <col min="1" max="1" width="107.90625" customWidth="1"/>
  </cols>
  <sheetData>
    <row r="1" spans="1:1" x14ac:dyDescent="0.35">
      <c r="A1" t="s">
        <v>121</v>
      </c>
    </row>
    <row r="2" spans="1:1" x14ac:dyDescent="0.35">
      <c r="A2" t="s">
        <v>123</v>
      </c>
    </row>
    <row r="3" spans="1:1" x14ac:dyDescent="0.35">
      <c r="A3" t="s">
        <v>118</v>
      </c>
    </row>
    <row r="4" spans="1:1" x14ac:dyDescent="0.35">
      <c r="A4" t="s">
        <v>119</v>
      </c>
    </row>
    <row r="5" spans="1:1" x14ac:dyDescent="0.35">
      <c r="A5" t="s">
        <v>122</v>
      </c>
    </row>
    <row r="6" spans="1:1" x14ac:dyDescent="0.35">
      <c r="A6" t="s">
        <v>74</v>
      </c>
    </row>
    <row r="7" spans="1:1" x14ac:dyDescent="0.35">
      <c r="A7" t="s">
        <v>120</v>
      </c>
    </row>
    <row r="8" spans="1:1" x14ac:dyDescent="0.35">
      <c r="A8" t="s">
        <v>125</v>
      </c>
    </row>
    <row r="10" spans="1:1" x14ac:dyDescent="0.35">
      <c r="A10" s="82" t="s">
        <v>138</v>
      </c>
    </row>
    <row r="11" spans="1:1" ht="29" x14ac:dyDescent="0.35">
      <c r="A11" s="81" t="s">
        <v>117</v>
      </c>
    </row>
    <row r="12" spans="1:1" x14ac:dyDescent="0.35">
      <c r="A12" t="s">
        <v>128</v>
      </c>
    </row>
    <row r="13" spans="1:1" x14ac:dyDescent="0.35">
      <c r="A13" t="s">
        <v>129</v>
      </c>
    </row>
    <row r="15" spans="1:1" x14ac:dyDescent="0.35">
      <c r="A15" t="s">
        <v>130</v>
      </c>
    </row>
    <row r="16" spans="1:1" x14ac:dyDescent="0.35">
      <c r="A16" t="s">
        <v>131</v>
      </c>
    </row>
    <row r="17" spans="1:1" x14ac:dyDescent="0.35">
      <c r="A17" t="s">
        <v>132</v>
      </c>
    </row>
    <row r="18" spans="1:1" x14ac:dyDescent="0.35">
      <c r="A18" t="s">
        <v>133</v>
      </c>
    </row>
    <row r="19" spans="1:1" x14ac:dyDescent="0.35">
      <c r="A19" t="s">
        <v>134</v>
      </c>
    </row>
    <row r="21" spans="1:1" x14ac:dyDescent="0.35">
      <c r="A21" t="s">
        <v>136</v>
      </c>
    </row>
    <row r="22" spans="1:1" x14ac:dyDescent="0.35">
      <c r="A22" t="s">
        <v>137</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6F73FFB28546428EDB0C86AB1D4E75" ma:contentTypeVersion="2" ma:contentTypeDescription="Create a new document." ma:contentTypeScope="" ma:versionID="984ccbf37e625a042482e9f6f409b819">
  <xsd:schema xmlns:xsd="http://www.w3.org/2001/XMLSchema" xmlns:xs="http://www.w3.org/2001/XMLSchema" xmlns:p="http://schemas.microsoft.com/office/2006/metadata/properties" xmlns:ns2="9464aeb2-5102-41f1-9455-588106d22f58" xmlns:ns3="47df6809-fd01-4f5f-9660-664f6559da8e" targetNamespace="http://schemas.microsoft.com/office/2006/metadata/properties" ma:root="true" ma:fieldsID="163008f747cfcf7cff1209343e3d399a" ns2:_="" ns3:_="">
    <xsd:import namespace="9464aeb2-5102-41f1-9455-588106d22f58"/>
    <xsd:import namespace="47df6809-fd01-4f5f-9660-664f6559da8e"/>
    <xsd:element name="properties">
      <xsd:complexType>
        <xsd:sequence>
          <xsd:element name="documentManagement">
            <xsd:complexType>
              <xsd:all>
                <xsd:element ref="ns2:SharedWithUsers" minOccurs="0"/>
                <xsd:element ref="ns3:Topi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64aeb2-5102-41f1-9455-588106d22f5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7df6809-fd01-4f5f-9660-664f6559da8e" elementFormDefault="qualified">
    <xsd:import namespace="http://schemas.microsoft.com/office/2006/documentManagement/types"/>
    <xsd:import namespace="http://schemas.microsoft.com/office/infopath/2007/PartnerControls"/>
    <xsd:element name="Topic" ma:index="9" nillable="true" ma:displayName="Topic" ma:description="This field will be used to filter for subsites" ma:internalName="Topic">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opic xmlns="47df6809-fd01-4f5f-9660-664f6559da8e" xsi:nil="true"/>
  </documentManagement>
</p:properties>
</file>

<file path=customXml/itemProps1.xml><?xml version="1.0" encoding="utf-8"?>
<ds:datastoreItem xmlns:ds="http://schemas.openxmlformats.org/officeDocument/2006/customXml" ds:itemID="{E3DA461B-16A0-43B1-ABDB-783A57B0B6A3}"/>
</file>

<file path=customXml/itemProps2.xml><?xml version="1.0" encoding="utf-8"?>
<ds:datastoreItem xmlns:ds="http://schemas.openxmlformats.org/officeDocument/2006/customXml" ds:itemID="{8852F579-4026-4805-AE7F-EBBD063B203D}">
  <ds:schemaRefs>
    <ds:schemaRef ds:uri="http://schemas.microsoft.com/sharepoint/v3/contenttype/forms"/>
  </ds:schemaRefs>
</ds:datastoreItem>
</file>

<file path=customXml/itemProps3.xml><?xml version="1.0" encoding="utf-8"?>
<ds:datastoreItem xmlns:ds="http://schemas.openxmlformats.org/officeDocument/2006/customXml" ds:itemID="{D57289CC-600D-4D71-A69B-C0E1E7BC77F2}">
  <ds:schemaRefs>
    <ds:schemaRef ds:uri="http://www.w3.org/XML/1998/namespace"/>
    <ds:schemaRef ds:uri="http://schemas.microsoft.com/office/2006/metadata/properties"/>
    <ds:schemaRef ds:uri="http://purl.org/dc/dcmityp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Assessment Architecture</vt:lpstr>
      <vt:lpstr>Assessment Methods</vt:lpstr>
      <vt:lpstr>Assessment Personnel</vt:lpstr>
      <vt:lpstr>Exceptions</vt:lpstr>
      <vt:lpstr>Security Test Report</vt:lpstr>
      <vt:lpstr>SAR Executive Summary</vt:lpstr>
      <vt:lpstr>References</vt:lpstr>
      <vt:lpstr>Dropdown data</vt:lpstr>
      <vt:lpstr>'Assessment Architecture'!Print_Area</vt:lpstr>
      <vt:lpstr>'Assessment Methods'!Print_Area</vt:lpstr>
      <vt:lpstr>'Assessment Personnel'!Print_Area</vt:lpstr>
      <vt:lpstr>Exceptions!Print_Area</vt:lpstr>
      <vt:lpstr>References!Print_Area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Rogus, Stefan</dc:creator>
  <cp:lastModifiedBy>Rogus, Stefan</cp:lastModifiedBy>
  <cp:lastPrinted>2017-03-29T18:18:29Z</cp:lastPrinted>
  <dcterms:created xsi:type="dcterms:W3CDTF">2017-03-16T16:21:57Z</dcterms:created>
  <dcterms:modified xsi:type="dcterms:W3CDTF">2022-08-16T16:22:50Z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0x010100B06F73FFB28546428EDB0C86AB1D4E75</vt:lpwstr>
  </property>
  <property fmtid="{D5CDD505-2E9C-101B-9397-08002B2CF9AE}" pid="3" name="MSIP_Label_ea60d57e-af5b-4752-ac57-3e4f28ca11dc_Enabled">
    <vt:lpwstr>true</vt:lpwstr>
  </property>
  <property fmtid="{D5CDD505-2E9C-101B-9397-08002B2CF9AE}" pid="4" name="MSIP_Label_ea60d57e-af5b-4752-ac57-3e4f28ca11dc_SetDate">
    <vt:lpwstr>2021-11-10T18:18:42Z</vt:lpwstr>
  </property>
  <property fmtid="{D5CDD505-2E9C-101B-9397-08002B2CF9AE}" pid="5" name="MSIP_Label_ea60d57e-af5b-4752-ac57-3e4f28ca11dc_Method">
    <vt:lpwstr>Standard</vt:lpwstr>
  </property>
  <property fmtid="{D5CDD505-2E9C-101B-9397-08002B2CF9AE}" pid="6" name="MSIP_Label_ea60d57e-af5b-4752-ac57-3e4f28ca11dc_Name">
    <vt:lpwstr>ea60d57e-af5b-4752-ac57-3e4f28ca11dc</vt:lpwstr>
  </property>
  <property fmtid="{D5CDD505-2E9C-101B-9397-08002B2CF9AE}" pid="7" name="MSIP_Label_ea60d57e-af5b-4752-ac57-3e4f28ca11dc_SiteId">
    <vt:lpwstr>36da45f1-dd2c-4d1f-af13-5abe46b99921</vt:lpwstr>
  </property>
  <property fmtid="{D5CDD505-2E9C-101B-9397-08002B2CF9AE}" pid="8" name="MSIP_Label_ea60d57e-af5b-4752-ac57-3e4f28ca11dc_ActionId">
    <vt:lpwstr>bb3e4f55-33bc-4534-85ec-cd6e6e411502</vt:lpwstr>
  </property>
  <property fmtid="{D5CDD505-2E9C-101B-9397-08002B2CF9AE}" pid="9" name="MSIP_Label_ea60d57e-af5b-4752-ac57-3e4f28ca11dc_ContentBits">
    <vt:lpwstr>0</vt:lpwstr>
  </property>
</Properties>
</file>